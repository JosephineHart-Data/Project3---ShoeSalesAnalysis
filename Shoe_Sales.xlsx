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mePC\Documents\"/>
    </mc:Choice>
  </mc:AlternateContent>
  <xr:revisionPtr revIDLastSave="0" documentId="13_ncr:1_{F17EC5DD-92E5-43B4-A83A-3DF0234842BB}" xr6:coauthVersionLast="47" xr6:coauthVersionMax="47" xr10:uidLastSave="{00000000-0000-0000-0000-000000000000}"/>
  <bookViews>
    <workbookView xWindow="0" yWindow="0" windowWidth="16320" windowHeight="10635" activeTab="3" xr2:uid="{00000000-000D-0000-FFFF-FFFF00000000}"/>
  </bookViews>
  <sheets>
    <sheet name="Business Questions" sheetId="3" r:id="rId1"/>
    <sheet name="Shoe Sales" sheetId="1" r:id="rId2"/>
    <sheet name="Price" sheetId="2" r:id="rId3"/>
    <sheet name="PivotTables" sheetId="4" r:id="rId4"/>
    <sheet name="Dashboard" sheetId="5" r:id="rId5"/>
  </sheets>
  <definedNames>
    <definedName name="Slicer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t2OoQScImnjPBx5wythQQV9yUYS7BMBunkFyIboz0FY="/>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M49" i="1"/>
  <c r="M85" i="1"/>
  <c r="M89" i="1"/>
  <c r="M105" i="1"/>
  <c r="M121" i="1"/>
  <c r="M145" i="1"/>
  <c r="M165" i="1"/>
  <c r="M185" i="1"/>
  <c r="M201" i="1"/>
  <c r="M221" i="1"/>
  <c r="M241" i="1"/>
  <c r="M261" i="1"/>
  <c r="M297" i="1"/>
  <c r="M342" i="1"/>
  <c r="M343" i="1"/>
  <c r="M346" i="1"/>
  <c r="M350" i="1"/>
  <c r="M351" i="1"/>
  <c r="M354" i="1"/>
  <c r="M355" i="1"/>
  <c r="M358" i="1"/>
  <c r="M359" i="1"/>
  <c r="M362" i="1"/>
  <c r="M366" i="1"/>
  <c r="M367" i="1"/>
  <c r="M370" i="1"/>
  <c r="M371" i="1"/>
  <c r="M374" i="1"/>
  <c r="M375" i="1"/>
  <c r="M378" i="1"/>
  <c r="M382" i="1"/>
  <c r="M383" i="1"/>
  <c r="M386" i="1"/>
  <c r="M387" i="1"/>
  <c r="M389" i="1"/>
  <c r="M390" i="1"/>
  <c r="M391" i="1"/>
  <c r="M394" i="1"/>
  <c r="M398" i="1"/>
  <c r="M399" i="1"/>
  <c r="M402" i="1"/>
  <c r="M403" i="1"/>
  <c r="M406" i="1"/>
  <c r="M410" i="1"/>
  <c r="M414" i="1"/>
  <c r="M415" i="1"/>
  <c r="M418" i="1"/>
  <c r="M419" i="1"/>
  <c r="M422" i="1"/>
  <c r="M423" i="1"/>
  <c r="M426" i="1"/>
  <c r="M430" i="1"/>
  <c r="M431" i="1"/>
  <c r="M434" i="1"/>
  <c r="M438" i="1"/>
  <c r="M439" i="1"/>
  <c r="M442" i="1"/>
  <c r="M446" i="1"/>
  <c r="M447" i="1"/>
  <c r="M450" i="1"/>
  <c r="M451" i="1"/>
  <c r="M454" i="1"/>
  <c r="M458" i="1"/>
  <c r="M462" i="1"/>
  <c r="M463" i="1"/>
  <c r="M466" i="1"/>
  <c r="M467" i="1"/>
  <c r="M469" i="1"/>
  <c r="M470" i="1"/>
  <c r="M474" i="1"/>
  <c r="M478" i="1"/>
  <c r="M479" i="1"/>
  <c r="M482" i="1"/>
  <c r="M486" i="1"/>
  <c r="M487" i="1"/>
  <c r="M490" i="1"/>
  <c r="M494" i="1"/>
  <c r="M495" i="1"/>
  <c r="M498" i="1"/>
  <c r="L77" i="1"/>
  <c r="L129" i="1"/>
  <c r="L153" i="1"/>
  <c r="L237" i="1"/>
  <c r="L301" i="1"/>
  <c r="L333" i="1"/>
  <c r="L338" i="1"/>
  <c r="L357" i="1"/>
  <c r="L379" i="1"/>
  <c r="L407" i="1"/>
  <c r="M407" i="1" s="1"/>
  <c r="L427" i="1"/>
  <c r="L443" i="1"/>
  <c r="L471" i="1"/>
  <c r="M471" i="1" s="1"/>
  <c r="L475" i="1"/>
  <c r="L483" i="1"/>
  <c r="M483" i="1" s="1"/>
  <c r="L491" i="1"/>
  <c r="L499" i="1"/>
  <c r="M499" i="1" s="1"/>
  <c r="K65" i="1"/>
  <c r="M65" i="1" s="1"/>
  <c r="K331" i="1"/>
  <c r="M331" i="1" s="1"/>
  <c r="J3" i="1"/>
  <c r="L3" i="1" s="1"/>
  <c r="J4" i="1"/>
  <c r="L4" i="1" s="1"/>
  <c r="J5" i="1"/>
  <c r="L5" i="1" s="1"/>
  <c r="J6" i="1"/>
  <c r="L6" i="1" s="1"/>
  <c r="J7" i="1"/>
  <c r="L7" i="1" s="1"/>
  <c r="J8" i="1"/>
  <c r="L8" i="1" s="1"/>
  <c r="J9" i="1"/>
  <c r="L9" i="1" s="1"/>
  <c r="J10" i="1"/>
  <c r="L10" i="1" s="1"/>
  <c r="J11" i="1"/>
  <c r="L11" i="1" s="1"/>
  <c r="J12" i="1"/>
  <c r="L12" i="1" s="1"/>
  <c r="J13" i="1"/>
  <c r="L13" i="1" s="1"/>
  <c r="J14" i="1"/>
  <c r="L14" i="1" s="1"/>
  <c r="J15" i="1"/>
  <c r="L15" i="1" s="1"/>
  <c r="J16" i="1"/>
  <c r="L16" i="1" s="1"/>
  <c r="J17" i="1"/>
  <c r="L17" i="1" s="1"/>
  <c r="J18" i="1"/>
  <c r="L18" i="1" s="1"/>
  <c r="J19" i="1"/>
  <c r="L19" i="1" s="1"/>
  <c r="J20" i="1"/>
  <c r="L20" i="1" s="1"/>
  <c r="J21" i="1"/>
  <c r="L21" i="1" s="1"/>
  <c r="J22" i="1"/>
  <c r="L22" i="1" s="1"/>
  <c r="J23" i="1"/>
  <c r="L23" i="1" s="1"/>
  <c r="J24" i="1"/>
  <c r="L24" i="1" s="1"/>
  <c r="J25" i="1"/>
  <c r="L25" i="1" s="1"/>
  <c r="J26" i="1"/>
  <c r="L26" i="1" s="1"/>
  <c r="J27" i="1"/>
  <c r="L27" i="1" s="1"/>
  <c r="J28" i="1"/>
  <c r="L28" i="1" s="1"/>
  <c r="J29" i="1"/>
  <c r="L29" i="1" s="1"/>
  <c r="J30" i="1"/>
  <c r="L30" i="1" s="1"/>
  <c r="J31" i="1"/>
  <c r="L31" i="1" s="1"/>
  <c r="J32" i="1"/>
  <c r="L32" i="1" s="1"/>
  <c r="J33" i="1"/>
  <c r="L33" i="1" s="1"/>
  <c r="J34" i="1"/>
  <c r="L34" i="1" s="1"/>
  <c r="J35" i="1"/>
  <c r="L35" i="1" s="1"/>
  <c r="J36" i="1"/>
  <c r="L36" i="1" s="1"/>
  <c r="J37" i="1"/>
  <c r="L37" i="1" s="1"/>
  <c r="J38" i="1"/>
  <c r="L38" i="1" s="1"/>
  <c r="J39" i="1"/>
  <c r="L39" i="1" s="1"/>
  <c r="J40" i="1"/>
  <c r="L40" i="1" s="1"/>
  <c r="J41" i="1"/>
  <c r="L41" i="1" s="1"/>
  <c r="J42" i="1"/>
  <c r="L42" i="1" s="1"/>
  <c r="J43" i="1"/>
  <c r="L43" i="1" s="1"/>
  <c r="J44" i="1"/>
  <c r="L44" i="1" s="1"/>
  <c r="J45" i="1"/>
  <c r="L45" i="1" s="1"/>
  <c r="J46" i="1"/>
  <c r="L46" i="1" s="1"/>
  <c r="J47" i="1"/>
  <c r="L47" i="1" s="1"/>
  <c r="J48" i="1"/>
  <c r="L48" i="1" s="1"/>
  <c r="J49" i="1"/>
  <c r="L49" i="1" s="1"/>
  <c r="J50" i="1"/>
  <c r="L50" i="1" s="1"/>
  <c r="J51" i="1"/>
  <c r="L51" i="1" s="1"/>
  <c r="J52" i="1"/>
  <c r="L52" i="1" s="1"/>
  <c r="J53" i="1"/>
  <c r="L53" i="1" s="1"/>
  <c r="J54" i="1"/>
  <c r="L54" i="1" s="1"/>
  <c r="J55" i="1"/>
  <c r="L55" i="1" s="1"/>
  <c r="J56" i="1"/>
  <c r="L56" i="1" s="1"/>
  <c r="J57" i="1"/>
  <c r="L57" i="1" s="1"/>
  <c r="J58" i="1"/>
  <c r="L58" i="1" s="1"/>
  <c r="J59" i="1"/>
  <c r="L59" i="1" s="1"/>
  <c r="J60" i="1"/>
  <c r="L60" i="1" s="1"/>
  <c r="J61" i="1"/>
  <c r="L61" i="1" s="1"/>
  <c r="J62" i="1"/>
  <c r="L62" i="1" s="1"/>
  <c r="J63" i="1"/>
  <c r="L63" i="1" s="1"/>
  <c r="J64" i="1"/>
  <c r="L64" i="1" s="1"/>
  <c r="J65" i="1"/>
  <c r="L65" i="1" s="1"/>
  <c r="J66" i="1"/>
  <c r="L66" i="1" s="1"/>
  <c r="J67" i="1"/>
  <c r="L67" i="1" s="1"/>
  <c r="J68" i="1"/>
  <c r="L68" i="1" s="1"/>
  <c r="J69" i="1"/>
  <c r="L69" i="1" s="1"/>
  <c r="J70" i="1"/>
  <c r="L70" i="1" s="1"/>
  <c r="J71" i="1"/>
  <c r="L71" i="1" s="1"/>
  <c r="J72" i="1"/>
  <c r="L72" i="1" s="1"/>
  <c r="J73" i="1"/>
  <c r="L73" i="1" s="1"/>
  <c r="J74" i="1"/>
  <c r="L74" i="1" s="1"/>
  <c r="J75" i="1"/>
  <c r="L75" i="1" s="1"/>
  <c r="J76" i="1"/>
  <c r="L76" i="1" s="1"/>
  <c r="J77" i="1"/>
  <c r="J78" i="1"/>
  <c r="L78" i="1" s="1"/>
  <c r="J79" i="1"/>
  <c r="L79" i="1" s="1"/>
  <c r="J80" i="1"/>
  <c r="L80" i="1" s="1"/>
  <c r="J81" i="1"/>
  <c r="L81" i="1" s="1"/>
  <c r="J82" i="1"/>
  <c r="L82" i="1" s="1"/>
  <c r="J83" i="1"/>
  <c r="L83" i="1" s="1"/>
  <c r="J84" i="1"/>
  <c r="L84" i="1" s="1"/>
  <c r="J85" i="1"/>
  <c r="L85" i="1" s="1"/>
  <c r="J86" i="1"/>
  <c r="L86" i="1" s="1"/>
  <c r="J87" i="1"/>
  <c r="L87" i="1" s="1"/>
  <c r="J88" i="1"/>
  <c r="L88" i="1" s="1"/>
  <c r="J89" i="1"/>
  <c r="L89" i="1" s="1"/>
  <c r="J90" i="1"/>
  <c r="L90" i="1" s="1"/>
  <c r="J91" i="1"/>
  <c r="L91" i="1" s="1"/>
  <c r="J92" i="1"/>
  <c r="L92" i="1" s="1"/>
  <c r="J93" i="1"/>
  <c r="L93" i="1" s="1"/>
  <c r="J94" i="1"/>
  <c r="L94" i="1" s="1"/>
  <c r="J95" i="1"/>
  <c r="L95" i="1" s="1"/>
  <c r="J96" i="1"/>
  <c r="L96" i="1" s="1"/>
  <c r="J97" i="1"/>
  <c r="L97" i="1" s="1"/>
  <c r="J98" i="1"/>
  <c r="L98" i="1" s="1"/>
  <c r="J99" i="1"/>
  <c r="L99" i="1" s="1"/>
  <c r="J100" i="1"/>
  <c r="L100" i="1" s="1"/>
  <c r="J101" i="1"/>
  <c r="L101" i="1" s="1"/>
  <c r="J102" i="1"/>
  <c r="L102" i="1" s="1"/>
  <c r="J103" i="1"/>
  <c r="L103" i="1" s="1"/>
  <c r="J104" i="1"/>
  <c r="L104" i="1" s="1"/>
  <c r="J105" i="1"/>
  <c r="L105" i="1" s="1"/>
  <c r="J106" i="1"/>
  <c r="L106" i="1" s="1"/>
  <c r="J107" i="1"/>
  <c r="L107" i="1" s="1"/>
  <c r="J108" i="1"/>
  <c r="L108" i="1" s="1"/>
  <c r="J109" i="1"/>
  <c r="L109" i="1" s="1"/>
  <c r="J110" i="1"/>
  <c r="L110" i="1" s="1"/>
  <c r="J111" i="1"/>
  <c r="L111" i="1" s="1"/>
  <c r="J112" i="1"/>
  <c r="L112" i="1" s="1"/>
  <c r="J113" i="1"/>
  <c r="L113" i="1" s="1"/>
  <c r="J114" i="1"/>
  <c r="L114" i="1" s="1"/>
  <c r="J115" i="1"/>
  <c r="L115" i="1" s="1"/>
  <c r="J116" i="1"/>
  <c r="L116" i="1" s="1"/>
  <c r="J117" i="1"/>
  <c r="L117" i="1" s="1"/>
  <c r="J118" i="1"/>
  <c r="L118" i="1" s="1"/>
  <c r="J119" i="1"/>
  <c r="L119" i="1" s="1"/>
  <c r="J120" i="1"/>
  <c r="L120" i="1" s="1"/>
  <c r="J121" i="1"/>
  <c r="L121" i="1" s="1"/>
  <c r="J122" i="1"/>
  <c r="L122" i="1" s="1"/>
  <c r="J123" i="1"/>
  <c r="L123" i="1" s="1"/>
  <c r="J124" i="1"/>
  <c r="L124" i="1" s="1"/>
  <c r="J125" i="1"/>
  <c r="L125" i="1" s="1"/>
  <c r="J126" i="1"/>
  <c r="L126" i="1" s="1"/>
  <c r="J127" i="1"/>
  <c r="L127" i="1" s="1"/>
  <c r="J128" i="1"/>
  <c r="L128" i="1" s="1"/>
  <c r="J129" i="1"/>
  <c r="J130" i="1"/>
  <c r="L130" i="1" s="1"/>
  <c r="J131" i="1"/>
  <c r="L131" i="1" s="1"/>
  <c r="J132" i="1"/>
  <c r="L132" i="1" s="1"/>
  <c r="J133" i="1"/>
  <c r="L133" i="1" s="1"/>
  <c r="J134" i="1"/>
  <c r="L134" i="1" s="1"/>
  <c r="J135" i="1"/>
  <c r="L135" i="1" s="1"/>
  <c r="J136" i="1"/>
  <c r="L136" i="1" s="1"/>
  <c r="J137" i="1"/>
  <c r="L137" i="1" s="1"/>
  <c r="J138" i="1"/>
  <c r="L138" i="1" s="1"/>
  <c r="J139" i="1"/>
  <c r="L139" i="1" s="1"/>
  <c r="J140" i="1"/>
  <c r="L140" i="1" s="1"/>
  <c r="J141" i="1"/>
  <c r="L141" i="1" s="1"/>
  <c r="J142" i="1"/>
  <c r="L142" i="1" s="1"/>
  <c r="J143" i="1"/>
  <c r="L143" i="1" s="1"/>
  <c r="J144" i="1"/>
  <c r="L144" i="1" s="1"/>
  <c r="J145" i="1"/>
  <c r="L145" i="1" s="1"/>
  <c r="J146" i="1"/>
  <c r="L146" i="1" s="1"/>
  <c r="J147" i="1"/>
  <c r="L147" i="1" s="1"/>
  <c r="J148" i="1"/>
  <c r="L148" i="1" s="1"/>
  <c r="J149" i="1"/>
  <c r="L149" i="1" s="1"/>
  <c r="J150" i="1"/>
  <c r="L150" i="1" s="1"/>
  <c r="J151" i="1"/>
  <c r="L151" i="1" s="1"/>
  <c r="J152" i="1"/>
  <c r="L152" i="1" s="1"/>
  <c r="J153" i="1"/>
  <c r="J154" i="1"/>
  <c r="L154" i="1" s="1"/>
  <c r="J155" i="1"/>
  <c r="L155" i="1" s="1"/>
  <c r="J156" i="1"/>
  <c r="L156" i="1" s="1"/>
  <c r="J157" i="1"/>
  <c r="L157" i="1" s="1"/>
  <c r="J158" i="1"/>
  <c r="L158" i="1" s="1"/>
  <c r="J159" i="1"/>
  <c r="L159" i="1" s="1"/>
  <c r="J160" i="1"/>
  <c r="L160" i="1" s="1"/>
  <c r="J161" i="1"/>
  <c r="L161" i="1" s="1"/>
  <c r="J162" i="1"/>
  <c r="L162" i="1" s="1"/>
  <c r="J163" i="1"/>
  <c r="L163" i="1" s="1"/>
  <c r="J164" i="1"/>
  <c r="L164" i="1" s="1"/>
  <c r="J165" i="1"/>
  <c r="L165" i="1" s="1"/>
  <c r="J166" i="1"/>
  <c r="L166" i="1" s="1"/>
  <c r="J167" i="1"/>
  <c r="L167" i="1" s="1"/>
  <c r="J168" i="1"/>
  <c r="L168" i="1" s="1"/>
  <c r="J169" i="1"/>
  <c r="L169" i="1" s="1"/>
  <c r="J170" i="1"/>
  <c r="L170" i="1" s="1"/>
  <c r="J171" i="1"/>
  <c r="L171" i="1" s="1"/>
  <c r="J172" i="1"/>
  <c r="L172" i="1" s="1"/>
  <c r="J173" i="1"/>
  <c r="L173" i="1" s="1"/>
  <c r="J174" i="1"/>
  <c r="L174" i="1" s="1"/>
  <c r="J175" i="1"/>
  <c r="L175" i="1" s="1"/>
  <c r="J176" i="1"/>
  <c r="L176" i="1" s="1"/>
  <c r="J177" i="1"/>
  <c r="L177" i="1" s="1"/>
  <c r="J178" i="1"/>
  <c r="L178" i="1" s="1"/>
  <c r="J179" i="1"/>
  <c r="L179" i="1" s="1"/>
  <c r="J180" i="1"/>
  <c r="L180" i="1" s="1"/>
  <c r="J181" i="1"/>
  <c r="L181" i="1" s="1"/>
  <c r="J182" i="1"/>
  <c r="L182" i="1" s="1"/>
  <c r="J183" i="1"/>
  <c r="L183" i="1" s="1"/>
  <c r="J184" i="1"/>
  <c r="L184" i="1" s="1"/>
  <c r="J185" i="1"/>
  <c r="L185" i="1" s="1"/>
  <c r="J186" i="1"/>
  <c r="L186" i="1" s="1"/>
  <c r="J187" i="1"/>
  <c r="L187" i="1" s="1"/>
  <c r="J188" i="1"/>
  <c r="L188" i="1" s="1"/>
  <c r="J189" i="1"/>
  <c r="L189" i="1" s="1"/>
  <c r="J190" i="1"/>
  <c r="L190" i="1" s="1"/>
  <c r="J191" i="1"/>
  <c r="L191" i="1" s="1"/>
  <c r="J192" i="1"/>
  <c r="L192" i="1" s="1"/>
  <c r="J193" i="1"/>
  <c r="L193" i="1" s="1"/>
  <c r="J194" i="1"/>
  <c r="L194" i="1" s="1"/>
  <c r="J195" i="1"/>
  <c r="L195" i="1" s="1"/>
  <c r="J196" i="1"/>
  <c r="L196" i="1" s="1"/>
  <c r="J197" i="1"/>
  <c r="L197" i="1" s="1"/>
  <c r="J198" i="1"/>
  <c r="L198" i="1" s="1"/>
  <c r="J199" i="1"/>
  <c r="L199" i="1" s="1"/>
  <c r="J200" i="1"/>
  <c r="L200" i="1" s="1"/>
  <c r="J201" i="1"/>
  <c r="L201" i="1" s="1"/>
  <c r="J202" i="1"/>
  <c r="L202" i="1" s="1"/>
  <c r="J203" i="1"/>
  <c r="L203" i="1" s="1"/>
  <c r="J204" i="1"/>
  <c r="L204" i="1" s="1"/>
  <c r="J205" i="1"/>
  <c r="L205" i="1" s="1"/>
  <c r="J206" i="1"/>
  <c r="L206" i="1" s="1"/>
  <c r="J207" i="1"/>
  <c r="L207" i="1" s="1"/>
  <c r="J208" i="1"/>
  <c r="L208" i="1" s="1"/>
  <c r="J209" i="1"/>
  <c r="L209" i="1" s="1"/>
  <c r="J210" i="1"/>
  <c r="L210" i="1" s="1"/>
  <c r="J211" i="1"/>
  <c r="L211" i="1" s="1"/>
  <c r="J212" i="1"/>
  <c r="L212" i="1" s="1"/>
  <c r="J213" i="1"/>
  <c r="L213" i="1" s="1"/>
  <c r="J214" i="1"/>
  <c r="L214" i="1" s="1"/>
  <c r="J215" i="1"/>
  <c r="L215" i="1" s="1"/>
  <c r="J216" i="1"/>
  <c r="L216" i="1" s="1"/>
  <c r="J217" i="1"/>
  <c r="L217" i="1" s="1"/>
  <c r="J218" i="1"/>
  <c r="L218" i="1" s="1"/>
  <c r="J219" i="1"/>
  <c r="L219" i="1" s="1"/>
  <c r="J220" i="1"/>
  <c r="L220" i="1" s="1"/>
  <c r="J221" i="1"/>
  <c r="L221" i="1" s="1"/>
  <c r="J222" i="1"/>
  <c r="L222" i="1" s="1"/>
  <c r="J223" i="1"/>
  <c r="L223" i="1" s="1"/>
  <c r="J224" i="1"/>
  <c r="L224" i="1" s="1"/>
  <c r="J225" i="1"/>
  <c r="L225" i="1" s="1"/>
  <c r="J226" i="1"/>
  <c r="L226" i="1" s="1"/>
  <c r="J227" i="1"/>
  <c r="L227" i="1" s="1"/>
  <c r="J228" i="1"/>
  <c r="L228" i="1" s="1"/>
  <c r="J229" i="1"/>
  <c r="L229" i="1" s="1"/>
  <c r="J230" i="1"/>
  <c r="L230" i="1" s="1"/>
  <c r="J231" i="1"/>
  <c r="L231" i="1" s="1"/>
  <c r="J232" i="1"/>
  <c r="L232" i="1" s="1"/>
  <c r="J233" i="1"/>
  <c r="L233" i="1" s="1"/>
  <c r="J234" i="1"/>
  <c r="L234" i="1" s="1"/>
  <c r="J235" i="1"/>
  <c r="L235" i="1" s="1"/>
  <c r="J236" i="1"/>
  <c r="L236" i="1" s="1"/>
  <c r="J237" i="1"/>
  <c r="J238" i="1"/>
  <c r="L238" i="1" s="1"/>
  <c r="J239" i="1"/>
  <c r="L239" i="1" s="1"/>
  <c r="J240" i="1"/>
  <c r="L240" i="1" s="1"/>
  <c r="J241" i="1"/>
  <c r="L241" i="1" s="1"/>
  <c r="J242" i="1"/>
  <c r="L242" i="1" s="1"/>
  <c r="J243" i="1"/>
  <c r="L243" i="1" s="1"/>
  <c r="J244" i="1"/>
  <c r="L244" i="1" s="1"/>
  <c r="J245" i="1"/>
  <c r="L245" i="1" s="1"/>
  <c r="J246" i="1"/>
  <c r="L246" i="1" s="1"/>
  <c r="J247" i="1"/>
  <c r="L247" i="1" s="1"/>
  <c r="J248" i="1"/>
  <c r="L248" i="1" s="1"/>
  <c r="J249" i="1"/>
  <c r="L249" i="1" s="1"/>
  <c r="J250" i="1"/>
  <c r="L250" i="1" s="1"/>
  <c r="J251" i="1"/>
  <c r="L251" i="1" s="1"/>
  <c r="J252" i="1"/>
  <c r="L252" i="1" s="1"/>
  <c r="J253" i="1"/>
  <c r="L253" i="1" s="1"/>
  <c r="J254" i="1"/>
  <c r="L254" i="1" s="1"/>
  <c r="J255" i="1"/>
  <c r="L255" i="1" s="1"/>
  <c r="J256" i="1"/>
  <c r="L256" i="1" s="1"/>
  <c r="J257" i="1"/>
  <c r="L257" i="1" s="1"/>
  <c r="J258" i="1"/>
  <c r="L258" i="1" s="1"/>
  <c r="J259" i="1"/>
  <c r="L259" i="1" s="1"/>
  <c r="J260" i="1"/>
  <c r="L260" i="1" s="1"/>
  <c r="J261" i="1"/>
  <c r="L261" i="1" s="1"/>
  <c r="J262" i="1"/>
  <c r="L262" i="1" s="1"/>
  <c r="J263" i="1"/>
  <c r="L263" i="1" s="1"/>
  <c r="J264" i="1"/>
  <c r="L264" i="1" s="1"/>
  <c r="J265" i="1"/>
  <c r="L265" i="1" s="1"/>
  <c r="J266" i="1"/>
  <c r="L266" i="1" s="1"/>
  <c r="J267" i="1"/>
  <c r="L267" i="1" s="1"/>
  <c r="J268" i="1"/>
  <c r="L268" i="1" s="1"/>
  <c r="J269" i="1"/>
  <c r="L269" i="1" s="1"/>
  <c r="J270" i="1"/>
  <c r="L270" i="1" s="1"/>
  <c r="J271" i="1"/>
  <c r="L271" i="1" s="1"/>
  <c r="J272" i="1"/>
  <c r="L272" i="1" s="1"/>
  <c r="J273" i="1"/>
  <c r="L273" i="1" s="1"/>
  <c r="J274" i="1"/>
  <c r="L274" i="1" s="1"/>
  <c r="J275" i="1"/>
  <c r="L275" i="1" s="1"/>
  <c r="J276" i="1"/>
  <c r="L276" i="1" s="1"/>
  <c r="J277" i="1"/>
  <c r="L277" i="1" s="1"/>
  <c r="J278" i="1"/>
  <c r="L278" i="1" s="1"/>
  <c r="J279" i="1"/>
  <c r="L279" i="1" s="1"/>
  <c r="J280" i="1"/>
  <c r="L280" i="1" s="1"/>
  <c r="J281" i="1"/>
  <c r="L281" i="1" s="1"/>
  <c r="J282" i="1"/>
  <c r="L282" i="1" s="1"/>
  <c r="J283" i="1"/>
  <c r="L283" i="1" s="1"/>
  <c r="J284" i="1"/>
  <c r="L284" i="1" s="1"/>
  <c r="J285" i="1"/>
  <c r="L285" i="1" s="1"/>
  <c r="J286" i="1"/>
  <c r="L286" i="1" s="1"/>
  <c r="J287" i="1"/>
  <c r="L287" i="1" s="1"/>
  <c r="J288" i="1"/>
  <c r="L288" i="1" s="1"/>
  <c r="J289" i="1"/>
  <c r="L289" i="1" s="1"/>
  <c r="J290" i="1"/>
  <c r="L290" i="1" s="1"/>
  <c r="J291" i="1"/>
  <c r="L291" i="1" s="1"/>
  <c r="J292" i="1"/>
  <c r="L292" i="1" s="1"/>
  <c r="J293" i="1"/>
  <c r="L293" i="1" s="1"/>
  <c r="J294" i="1"/>
  <c r="L294" i="1" s="1"/>
  <c r="J295" i="1"/>
  <c r="L295" i="1" s="1"/>
  <c r="J296" i="1"/>
  <c r="L296" i="1" s="1"/>
  <c r="J297" i="1"/>
  <c r="L297" i="1" s="1"/>
  <c r="J298" i="1"/>
  <c r="L298" i="1" s="1"/>
  <c r="J299" i="1"/>
  <c r="L299" i="1" s="1"/>
  <c r="J300" i="1"/>
  <c r="L300" i="1" s="1"/>
  <c r="J301" i="1"/>
  <c r="J302" i="1"/>
  <c r="L302" i="1" s="1"/>
  <c r="J303" i="1"/>
  <c r="L303" i="1" s="1"/>
  <c r="J304" i="1"/>
  <c r="L304" i="1" s="1"/>
  <c r="J305" i="1"/>
  <c r="L305" i="1" s="1"/>
  <c r="J306" i="1"/>
  <c r="L306" i="1" s="1"/>
  <c r="J307" i="1"/>
  <c r="L307" i="1" s="1"/>
  <c r="J308" i="1"/>
  <c r="L308" i="1" s="1"/>
  <c r="J309" i="1"/>
  <c r="L309" i="1" s="1"/>
  <c r="J310" i="1"/>
  <c r="L310" i="1" s="1"/>
  <c r="J311" i="1"/>
  <c r="L311" i="1" s="1"/>
  <c r="J312" i="1"/>
  <c r="L312" i="1" s="1"/>
  <c r="J313" i="1"/>
  <c r="L313" i="1" s="1"/>
  <c r="J314" i="1"/>
  <c r="L314" i="1" s="1"/>
  <c r="J315" i="1"/>
  <c r="L315" i="1" s="1"/>
  <c r="J316" i="1"/>
  <c r="L316" i="1" s="1"/>
  <c r="J317" i="1"/>
  <c r="L317" i="1" s="1"/>
  <c r="J318" i="1"/>
  <c r="L318" i="1" s="1"/>
  <c r="J319" i="1"/>
  <c r="L319" i="1" s="1"/>
  <c r="J320" i="1"/>
  <c r="L320" i="1" s="1"/>
  <c r="J321" i="1"/>
  <c r="L321" i="1" s="1"/>
  <c r="J322" i="1"/>
  <c r="L322" i="1" s="1"/>
  <c r="J323" i="1"/>
  <c r="L323" i="1" s="1"/>
  <c r="J324" i="1"/>
  <c r="L324" i="1" s="1"/>
  <c r="J325" i="1"/>
  <c r="L325" i="1" s="1"/>
  <c r="J326" i="1"/>
  <c r="L326" i="1" s="1"/>
  <c r="J327" i="1"/>
  <c r="L327" i="1" s="1"/>
  <c r="J328" i="1"/>
  <c r="L328" i="1" s="1"/>
  <c r="J329" i="1"/>
  <c r="L329" i="1" s="1"/>
  <c r="J330" i="1"/>
  <c r="L330" i="1" s="1"/>
  <c r="J331" i="1"/>
  <c r="L331" i="1" s="1"/>
  <c r="J332" i="1"/>
  <c r="L332" i="1" s="1"/>
  <c r="J333" i="1"/>
  <c r="J334" i="1"/>
  <c r="L334" i="1" s="1"/>
  <c r="J335" i="1"/>
  <c r="L335" i="1" s="1"/>
  <c r="J336" i="1"/>
  <c r="L336" i="1" s="1"/>
  <c r="J337" i="1"/>
  <c r="L337" i="1" s="1"/>
  <c r="J338" i="1"/>
  <c r="J339" i="1"/>
  <c r="L339" i="1" s="1"/>
  <c r="J340" i="1"/>
  <c r="L340" i="1" s="1"/>
  <c r="J341" i="1"/>
  <c r="L341" i="1" s="1"/>
  <c r="J342" i="1"/>
  <c r="L342" i="1" s="1"/>
  <c r="J343" i="1"/>
  <c r="L343" i="1" s="1"/>
  <c r="J344" i="1"/>
  <c r="L344" i="1" s="1"/>
  <c r="J345" i="1"/>
  <c r="L345" i="1" s="1"/>
  <c r="J346" i="1"/>
  <c r="L346" i="1" s="1"/>
  <c r="J347" i="1"/>
  <c r="L347" i="1" s="1"/>
  <c r="J348" i="1"/>
  <c r="L348" i="1" s="1"/>
  <c r="J349" i="1"/>
  <c r="L349" i="1" s="1"/>
  <c r="J350" i="1"/>
  <c r="L350" i="1" s="1"/>
  <c r="J351" i="1"/>
  <c r="L351" i="1" s="1"/>
  <c r="J352" i="1"/>
  <c r="L352" i="1" s="1"/>
  <c r="J353" i="1"/>
  <c r="L353" i="1" s="1"/>
  <c r="J354" i="1"/>
  <c r="L354" i="1" s="1"/>
  <c r="J355" i="1"/>
  <c r="L355" i="1" s="1"/>
  <c r="J356" i="1"/>
  <c r="L356" i="1" s="1"/>
  <c r="J357" i="1"/>
  <c r="J358" i="1"/>
  <c r="L358" i="1" s="1"/>
  <c r="J359" i="1"/>
  <c r="L359" i="1" s="1"/>
  <c r="J360" i="1"/>
  <c r="L360" i="1" s="1"/>
  <c r="J361" i="1"/>
  <c r="L361" i="1" s="1"/>
  <c r="J362" i="1"/>
  <c r="L362" i="1" s="1"/>
  <c r="J363" i="1"/>
  <c r="L363" i="1" s="1"/>
  <c r="J364" i="1"/>
  <c r="L364" i="1" s="1"/>
  <c r="J365" i="1"/>
  <c r="L365" i="1" s="1"/>
  <c r="J366" i="1"/>
  <c r="L366" i="1" s="1"/>
  <c r="J367" i="1"/>
  <c r="L367" i="1" s="1"/>
  <c r="J368" i="1"/>
  <c r="L368" i="1" s="1"/>
  <c r="J369" i="1"/>
  <c r="L369" i="1" s="1"/>
  <c r="J370" i="1"/>
  <c r="L370" i="1" s="1"/>
  <c r="J371" i="1"/>
  <c r="L371" i="1" s="1"/>
  <c r="J372" i="1"/>
  <c r="L372" i="1" s="1"/>
  <c r="J373" i="1"/>
  <c r="L373" i="1" s="1"/>
  <c r="J374" i="1"/>
  <c r="L374" i="1" s="1"/>
  <c r="J375" i="1"/>
  <c r="L375" i="1" s="1"/>
  <c r="J376" i="1"/>
  <c r="L376" i="1" s="1"/>
  <c r="J377" i="1"/>
  <c r="L377" i="1" s="1"/>
  <c r="J378" i="1"/>
  <c r="L378" i="1" s="1"/>
  <c r="J379" i="1"/>
  <c r="J380" i="1"/>
  <c r="L380" i="1" s="1"/>
  <c r="J381" i="1"/>
  <c r="L381" i="1" s="1"/>
  <c r="J382" i="1"/>
  <c r="L382" i="1" s="1"/>
  <c r="J383" i="1"/>
  <c r="L383" i="1" s="1"/>
  <c r="J384" i="1"/>
  <c r="L384" i="1" s="1"/>
  <c r="J385" i="1"/>
  <c r="L385" i="1" s="1"/>
  <c r="J386" i="1"/>
  <c r="L386" i="1" s="1"/>
  <c r="J387" i="1"/>
  <c r="L387" i="1" s="1"/>
  <c r="J388" i="1"/>
  <c r="L388" i="1" s="1"/>
  <c r="J389" i="1"/>
  <c r="L389" i="1" s="1"/>
  <c r="J390" i="1"/>
  <c r="L390" i="1" s="1"/>
  <c r="J391" i="1"/>
  <c r="L391" i="1" s="1"/>
  <c r="J392" i="1"/>
  <c r="L392" i="1" s="1"/>
  <c r="J393" i="1"/>
  <c r="L393" i="1" s="1"/>
  <c r="J394" i="1"/>
  <c r="L394" i="1" s="1"/>
  <c r="J395" i="1"/>
  <c r="L395" i="1" s="1"/>
  <c r="J396" i="1"/>
  <c r="L396" i="1" s="1"/>
  <c r="J397" i="1"/>
  <c r="L397" i="1" s="1"/>
  <c r="J398" i="1"/>
  <c r="L398" i="1" s="1"/>
  <c r="J399" i="1"/>
  <c r="L399" i="1" s="1"/>
  <c r="J400" i="1"/>
  <c r="L400" i="1" s="1"/>
  <c r="J401" i="1"/>
  <c r="L401" i="1" s="1"/>
  <c r="J402" i="1"/>
  <c r="L402" i="1" s="1"/>
  <c r="J403" i="1"/>
  <c r="L403" i="1" s="1"/>
  <c r="J404" i="1"/>
  <c r="L404" i="1" s="1"/>
  <c r="J405" i="1"/>
  <c r="L405" i="1" s="1"/>
  <c r="J406" i="1"/>
  <c r="L406" i="1" s="1"/>
  <c r="J407" i="1"/>
  <c r="J408" i="1"/>
  <c r="L408" i="1" s="1"/>
  <c r="J409" i="1"/>
  <c r="L409" i="1" s="1"/>
  <c r="J410" i="1"/>
  <c r="L410" i="1" s="1"/>
  <c r="J411" i="1"/>
  <c r="L411" i="1" s="1"/>
  <c r="J412" i="1"/>
  <c r="L412" i="1" s="1"/>
  <c r="J413" i="1"/>
  <c r="L413" i="1" s="1"/>
  <c r="J414" i="1"/>
  <c r="L414" i="1" s="1"/>
  <c r="J415" i="1"/>
  <c r="L415" i="1" s="1"/>
  <c r="J416" i="1"/>
  <c r="L416" i="1" s="1"/>
  <c r="J417" i="1"/>
  <c r="L417" i="1" s="1"/>
  <c r="J418" i="1"/>
  <c r="L418" i="1" s="1"/>
  <c r="J419" i="1"/>
  <c r="L419" i="1" s="1"/>
  <c r="J420" i="1"/>
  <c r="L420" i="1" s="1"/>
  <c r="J421" i="1"/>
  <c r="L421" i="1" s="1"/>
  <c r="J422" i="1"/>
  <c r="L422" i="1" s="1"/>
  <c r="J423" i="1"/>
  <c r="L423" i="1" s="1"/>
  <c r="J424" i="1"/>
  <c r="L424" i="1" s="1"/>
  <c r="J425" i="1"/>
  <c r="L425" i="1" s="1"/>
  <c r="J426" i="1"/>
  <c r="L426" i="1" s="1"/>
  <c r="J427" i="1"/>
  <c r="J428" i="1"/>
  <c r="L428" i="1" s="1"/>
  <c r="J429" i="1"/>
  <c r="L429" i="1" s="1"/>
  <c r="J430" i="1"/>
  <c r="L430" i="1" s="1"/>
  <c r="J431" i="1"/>
  <c r="L431" i="1" s="1"/>
  <c r="J432" i="1"/>
  <c r="L432" i="1" s="1"/>
  <c r="J433" i="1"/>
  <c r="L433" i="1" s="1"/>
  <c r="J434" i="1"/>
  <c r="L434" i="1" s="1"/>
  <c r="J435" i="1"/>
  <c r="L435" i="1" s="1"/>
  <c r="M435" i="1" s="1"/>
  <c r="J436" i="1"/>
  <c r="L436" i="1" s="1"/>
  <c r="J437" i="1"/>
  <c r="L437" i="1" s="1"/>
  <c r="J438" i="1"/>
  <c r="L438" i="1" s="1"/>
  <c r="J439" i="1"/>
  <c r="L439" i="1" s="1"/>
  <c r="J440" i="1"/>
  <c r="L440" i="1" s="1"/>
  <c r="J441" i="1"/>
  <c r="L441" i="1" s="1"/>
  <c r="J442" i="1"/>
  <c r="L442" i="1" s="1"/>
  <c r="J443" i="1"/>
  <c r="J444" i="1"/>
  <c r="L444" i="1" s="1"/>
  <c r="J445" i="1"/>
  <c r="L445" i="1" s="1"/>
  <c r="J446" i="1"/>
  <c r="L446" i="1" s="1"/>
  <c r="J447" i="1"/>
  <c r="L447" i="1" s="1"/>
  <c r="J448" i="1"/>
  <c r="L448" i="1" s="1"/>
  <c r="J449" i="1"/>
  <c r="L449" i="1" s="1"/>
  <c r="J450" i="1"/>
  <c r="L450" i="1" s="1"/>
  <c r="J451" i="1"/>
  <c r="L451" i="1" s="1"/>
  <c r="J452" i="1"/>
  <c r="L452" i="1" s="1"/>
  <c r="J453" i="1"/>
  <c r="L453" i="1" s="1"/>
  <c r="J454" i="1"/>
  <c r="L454" i="1" s="1"/>
  <c r="J455" i="1"/>
  <c r="L455" i="1" s="1"/>
  <c r="M455" i="1" s="1"/>
  <c r="J456" i="1"/>
  <c r="L456" i="1" s="1"/>
  <c r="J457" i="1"/>
  <c r="L457" i="1" s="1"/>
  <c r="J458" i="1"/>
  <c r="L458" i="1" s="1"/>
  <c r="J459" i="1"/>
  <c r="L459" i="1" s="1"/>
  <c r="J460" i="1"/>
  <c r="L460" i="1" s="1"/>
  <c r="J461" i="1"/>
  <c r="L461" i="1" s="1"/>
  <c r="J462" i="1"/>
  <c r="L462" i="1" s="1"/>
  <c r="J463" i="1"/>
  <c r="L463" i="1" s="1"/>
  <c r="J464" i="1"/>
  <c r="L464" i="1" s="1"/>
  <c r="J465" i="1"/>
  <c r="L465" i="1" s="1"/>
  <c r="J466" i="1"/>
  <c r="L466" i="1" s="1"/>
  <c r="J467" i="1"/>
  <c r="L467" i="1" s="1"/>
  <c r="J468" i="1"/>
  <c r="L468" i="1" s="1"/>
  <c r="J469" i="1"/>
  <c r="L469" i="1" s="1"/>
  <c r="J470" i="1"/>
  <c r="L470" i="1" s="1"/>
  <c r="J471" i="1"/>
  <c r="J472" i="1"/>
  <c r="L472" i="1" s="1"/>
  <c r="J473" i="1"/>
  <c r="L473" i="1" s="1"/>
  <c r="J474" i="1"/>
  <c r="L474" i="1" s="1"/>
  <c r="J475" i="1"/>
  <c r="J476" i="1"/>
  <c r="L476" i="1" s="1"/>
  <c r="J477" i="1"/>
  <c r="L477" i="1" s="1"/>
  <c r="J478" i="1"/>
  <c r="L478" i="1" s="1"/>
  <c r="J479" i="1"/>
  <c r="L479" i="1" s="1"/>
  <c r="J480" i="1"/>
  <c r="L480" i="1" s="1"/>
  <c r="J481" i="1"/>
  <c r="L481" i="1" s="1"/>
  <c r="J482" i="1"/>
  <c r="L482" i="1" s="1"/>
  <c r="J483" i="1"/>
  <c r="J484" i="1"/>
  <c r="L484" i="1" s="1"/>
  <c r="J485" i="1"/>
  <c r="L485" i="1" s="1"/>
  <c r="J486" i="1"/>
  <c r="L486" i="1" s="1"/>
  <c r="J487" i="1"/>
  <c r="L487" i="1" s="1"/>
  <c r="J488" i="1"/>
  <c r="L488" i="1" s="1"/>
  <c r="J489" i="1"/>
  <c r="L489" i="1" s="1"/>
  <c r="J490" i="1"/>
  <c r="L490" i="1" s="1"/>
  <c r="J491" i="1"/>
  <c r="J492" i="1"/>
  <c r="L492" i="1" s="1"/>
  <c r="J493" i="1"/>
  <c r="L493" i="1" s="1"/>
  <c r="J494" i="1"/>
  <c r="L494" i="1" s="1"/>
  <c r="J495" i="1"/>
  <c r="L495" i="1" s="1"/>
  <c r="J496" i="1"/>
  <c r="L496" i="1" s="1"/>
  <c r="J497" i="1"/>
  <c r="L497" i="1" s="1"/>
  <c r="J498" i="1"/>
  <c r="L498" i="1" s="1"/>
  <c r="J499" i="1"/>
  <c r="J500" i="1"/>
  <c r="L500" i="1" s="1"/>
  <c r="J501" i="1"/>
  <c r="L501" i="1" s="1"/>
  <c r="J2" i="1"/>
  <c r="L2" i="1" s="1"/>
  <c r="I3" i="1"/>
  <c r="K3" i="1" s="1"/>
  <c r="M3" i="1" s="1"/>
  <c r="I4" i="1"/>
  <c r="K4" i="1" s="1"/>
  <c r="M4" i="1" s="1"/>
  <c r="I5" i="1"/>
  <c r="K5" i="1" s="1"/>
  <c r="M5" i="1" s="1"/>
  <c r="I6" i="1"/>
  <c r="K6" i="1" s="1"/>
  <c r="M6" i="1" s="1"/>
  <c r="I7" i="1"/>
  <c r="K7" i="1" s="1"/>
  <c r="M7" i="1" s="1"/>
  <c r="I8" i="1"/>
  <c r="K8" i="1" s="1"/>
  <c r="M8" i="1" s="1"/>
  <c r="I9" i="1"/>
  <c r="K9" i="1" s="1"/>
  <c r="M9" i="1" s="1"/>
  <c r="I10" i="1"/>
  <c r="K10" i="1" s="1"/>
  <c r="M10" i="1" s="1"/>
  <c r="I11" i="1"/>
  <c r="K11" i="1" s="1"/>
  <c r="M11" i="1" s="1"/>
  <c r="I12" i="1"/>
  <c r="K12" i="1" s="1"/>
  <c r="M12" i="1" s="1"/>
  <c r="I13" i="1"/>
  <c r="K13" i="1" s="1"/>
  <c r="M13" i="1" s="1"/>
  <c r="I14" i="1"/>
  <c r="K14" i="1" s="1"/>
  <c r="M14" i="1" s="1"/>
  <c r="I15" i="1"/>
  <c r="K15" i="1" s="1"/>
  <c r="M15" i="1" s="1"/>
  <c r="I16" i="1"/>
  <c r="K16" i="1" s="1"/>
  <c r="M16" i="1" s="1"/>
  <c r="I17" i="1"/>
  <c r="K17" i="1" s="1"/>
  <c r="M17" i="1" s="1"/>
  <c r="I18" i="1"/>
  <c r="K18" i="1" s="1"/>
  <c r="M18" i="1" s="1"/>
  <c r="I19" i="1"/>
  <c r="K19" i="1" s="1"/>
  <c r="M19" i="1" s="1"/>
  <c r="I20" i="1"/>
  <c r="K20" i="1" s="1"/>
  <c r="M20" i="1" s="1"/>
  <c r="I21" i="1"/>
  <c r="K21" i="1" s="1"/>
  <c r="M21" i="1" s="1"/>
  <c r="I22" i="1"/>
  <c r="K22" i="1" s="1"/>
  <c r="M22" i="1" s="1"/>
  <c r="I23" i="1"/>
  <c r="K23" i="1" s="1"/>
  <c r="M23" i="1" s="1"/>
  <c r="I24" i="1"/>
  <c r="K24" i="1" s="1"/>
  <c r="M24" i="1" s="1"/>
  <c r="I25" i="1"/>
  <c r="K25" i="1" s="1"/>
  <c r="M25" i="1" s="1"/>
  <c r="I26" i="1"/>
  <c r="K26" i="1" s="1"/>
  <c r="M26" i="1" s="1"/>
  <c r="I27" i="1"/>
  <c r="K27" i="1" s="1"/>
  <c r="M27" i="1" s="1"/>
  <c r="I28" i="1"/>
  <c r="K28" i="1" s="1"/>
  <c r="M28" i="1" s="1"/>
  <c r="I29" i="1"/>
  <c r="K29" i="1" s="1"/>
  <c r="M29" i="1" s="1"/>
  <c r="I30" i="1"/>
  <c r="K30" i="1" s="1"/>
  <c r="M30" i="1" s="1"/>
  <c r="I31" i="1"/>
  <c r="K31" i="1" s="1"/>
  <c r="M31" i="1" s="1"/>
  <c r="I32" i="1"/>
  <c r="K32" i="1" s="1"/>
  <c r="M32" i="1" s="1"/>
  <c r="I33" i="1"/>
  <c r="K33" i="1" s="1"/>
  <c r="M33" i="1" s="1"/>
  <c r="I34" i="1"/>
  <c r="K34" i="1" s="1"/>
  <c r="M34" i="1" s="1"/>
  <c r="I35" i="1"/>
  <c r="K35" i="1" s="1"/>
  <c r="M35" i="1" s="1"/>
  <c r="I36" i="1"/>
  <c r="K36" i="1" s="1"/>
  <c r="M36" i="1" s="1"/>
  <c r="I37" i="1"/>
  <c r="K37" i="1" s="1"/>
  <c r="M37" i="1" s="1"/>
  <c r="I38" i="1"/>
  <c r="K38" i="1" s="1"/>
  <c r="M38" i="1" s="1"/>
  <c r="I39" i="1"/>
  <c r="K39" i="1" s="1"/>
  <c r="M39" i="1" s="1"/>
  <c r="I40" i="1"/>
  <c r="K40" i="1" s="1"/>
  <c r="M40" i="1" s="1"/>
  <c r="I41" i="1"/>
  <c r="K41" i="1" s="1"/>
  <c r="I42" i="1"/>
  <c r="K42" i="1" s="1"/>
  <c r="M42" i="1" s="1"/>
  <c r="I43" i="1"/>
  <c r="K43" i="1" s="1"/>
  <c r="M43" i="1" s="1"/>
  <c r="I44" i="1"/>
  <c r="K44" i="1" s="1"/>
  <c r="M44" i="1" s="1"/>
  <c r="I45" i="1"/>
  <c r="K45" i="1" s="1"/>
  <c r="M45" i="1" s="1"/>
  <c r="I46" i="1"/>
  <c r="K46" i="1" s="1"/>
  <c r="M46" i="1" s="1"/>
  <c r="I47" i="1"/>
  <c r="K47" i="1" s="1"/>
  <c r="M47" i="1" s="1"/>
  <c r="I48" i="1"/>
  <c r="K48" i="1" s="1"/>
  <c r="M48" i="1" s="1"/>
  <c r="I49" i="1"/>
  <c r="K49" i="1" s="1"/>
  <c r="I50" i="1"/>
  <c r="K50" i="1" s="1"/>
  <c r="M50" i="1" s="1"/>
  <c r="I51" i="1"/>
  <c r="K51" i="1" s="1"/>
  <c r="M51" i="1" s="1"/>
  <c r="I52" i="1"/>
  <c r="K52" i="1" s="1"/>
  <c r="M52" i="1" s="1"/>
  <c r="I53" i="1"/>
  <c r="K53" i="1" s="1"/>
  <c r="M53" i="1" s="1"/>
  <c r="I54" i="1"/>
  <c r="K54" i="1" s="1"/>
  <c r="M54" i="1" s="1"/>
  <c r="I55" i="1"/>
  <c r="K55" i="1" s="1"/>
  <c r="M55" i="1" s="1"/>
  <c r="I56" i="1"/>
  <c r="K56" i="1" s="1"/>
  <c r="M56" i="1" s="1"/>
  <c r="I57" i="1"/>
  <c r="K57" i="1" s="1"/>
  <c r="M57" i="1" s="1"/>
  <c r="I58" i="1"/>
  <c r="K58" i="1" s="1"/>
  <c r="M58" i="1" s="1"/>
  <c r="I59" i="1"/>
  <c r="K59" i="1" s="1"/>
  <c r="M59" i="1" s="1"/>
  <c r="I60" i="1"/>
  <c r="K60" i="1" s="1"/>
  <c r="M60" i="1" s="1"/>
  <c r="I61" i="1"/>
  <c r="K61" i="1" s="1"/>
  <c r="M61" i="1" s="1"/>
  <c r="I62" i="1"/>
  <c r="K62" i="1" s="1"/>
  <c r="M62" i="1" s="1"/>
  <c r="I63" i="1"/>
  <c r="K63" i="1" s="1"/>
  <c r="M63" i="1" s="1"/>
  <c r="I64" i="1"/>
  <c r="K64" i="1" s="1"/>
  <c r="M64" i="1" s="1"/>
  <c r="I65" i="1"/>
  <c r="I66" i="1"/>
  <c r="K66" i="1" s="1"/>
  <c r="M66" i="1" s="1"/>
  <c r="I67" i="1"/>
  <c r="K67" i="1" s="1"/>
  <c r="M67" i="1" s="1"/>
  <c r="I68" i="1"/>
  <c r="K68" i="1" s="1"/>
  <c r="M68" i="1" s="1"/>
  <c r="I69" i="1"/>
  <c r="K69" i="1" s="1"/>
  <c r="M69" i="1" s="1"/>
  <c r="I70" i="1"/>
  <c r="K70" i="1" s="1"/>
  <c r="M70" i="1" s="1"/>
  <c r="I71" i="1"/>
  <c r="K71" i="1" s="1"/>
  <c r="M71" i="1" s="1"/>
  <c r="I72" i="1"/>
  <c r="K72" i="1" s="1"/>
  <c r="M72" i="1" s="1"/>
  <c r="I73" i="1"/>
  <c r="K73" i="1" s="1"/>
  <c r="M73" i="1" s="1"/>
  <c r="I74" i="1"/>
  <c r="K74" i="1" s="1"/>
  <c r="M74" i="1" s="1"/>
  <c r="I75" i="1"/>
  <c r="K75" i="1" s="1"/>
  <c r="M75" i="1" s="1"/>
  <c r="I76" i="1"/>
  <c r="K76" i="1" s="1"/>
  <c r="M76" i="1" s="1"/>
  <c r="I77" i="1"/>
  <c r="K77" i="1" s="1"/>
  <c r="I78" i="1"/>
  <c r="K78" i="1" s="1"/>
  <c r="M78" i="1" s="1"/>
  <c r="I79" i="1"/>
  <c r="K79" i="1" s="1"/>
  <c r="M79" i="1" s="1"/>
  <c r="I80" i="1"/>
  <c r="K80" i="1" s="1"/>
  <c r="M80" i="1" s="1"/>
  <c r="I81" i="1"/>
  <c r="K81" i="1" s="1"/>
  <c r="M81" i="1" s="1"/>
  <c r="I82" i="1"/>
  <c r="K82" i="1" s="1"/>
  <c r="M82" i="1" s="1"/>
  <c r="I83" i="1"/>
  <c r="K83" i="1" s="1"/>
  <c r="M83" i="1" s="1"/>
  <c r="I84" i="1"/>
  <c r="K84" i="1" s="1"/>
  <c r="M84" i="1" s="1"/>
  <c r="I85" i="1"/>
  <c r="K85" i="1" s="1"/>
  <c r="I86" i="1"/>
  <c r="K86" i="1" s="1"/>
  <c r="M86" i="1" s="1"/>
  <c r="I87" i="1"/>
  <c r="K87" i="1" s="1"/>
  <c r="M87" i="1" s="1"/>
  <c r="I88" i="1"/>
  <c r="K88" i="1" s="1"/>
  <c r="M88" i="1" s="1"/>
  <c r="I89" i="1"/>
  <c r="K89" i="1" s="1"/>
  <c r="I90" i="1"/>
  <c r="K90" i="1" s="1"/>
  <c r="M90" i="1" s="1"/>
  <c r="I91" i="1"/>
  <c r="K91" i="1" s="1"/>
  <c r="M91" i="1" s="1"/>
  <c r="I92" i="1"/>
  <c r="K92" i="1" s="1"/>
  <c r="M92" i="1" s="1"/>
  <c r="I93" i="1"/>
  <c r="K93" i="1" s="1"/>
  <c r="M93" i="1" s="1"/>
  <c r="I94" i="1"/>
  <c r="K94" i="1" s="1"/>
  <c r="M94" i="1" s="1"/>
  <c r="I95" i="1"/>
  <c r="K95" i="1" s="1"/>
  <c r="M95" i="1" s="1"/>
  <c r="I96" i="1"/>
  <c r="K96" i="1" s="1"/>
  <c r="M96" i="1" s="1"/>
  <c r="I97" i="1"/>
  <c r="K97" i="1" s="1"/>
  <c r="M97" i="1" s="1"/>
  <c r="I98" i="1"/>
  <c r="K98" i="1" s="1"/>
  <c r="M98" i="1" s="1"/>
  <c r="I99" i="1"/>
  <c r="K99" i="1" s="1"/>
  <c r="M99" i="1" s="1"/>
  <c r="I100" i="1"/>
  <c r="K100" i="1" s="1"/>
  <c r="M100" i="1" s="1"/>
  <c r="I101" i="1"/>
  <c r="K101" i="1" s="1"/>
  <c r="M101" i="1" s="1"/>
  <c r="I102" i="1"/>
  <c r="K102" i="1" s="1"/>
  <c r="M102" i="1" s="1"/>
  <c r="I103" i="1"/>
  <c r="K103" i="1" s="1"/>
  <c r="M103" i="1" s="1"/>
  <c r="I104" i="1"/>
  <c r="K104" i="1" s="1"/>
  <c r="M104" i="1" s="1"/>
  <c r="I105" i="1"/>
  <c r="K105" i="1" s="1"/>
  <c r="I106" i="1"/>
  <c r="K106" i="1" s="1"/>
  <c r="M106" i="1" s="1"/>
  <c r="I107" i="1"/>
  <c r="K107" i="1" s="1"/>
  <c r="M107" i="1" s="1"/>
  <c r="I108" i="1"/>
  <c r="K108" i="1" s="1"/>
  <c r="M108" i="1" s="1"/>
  <c r="I109" i="1"/>
  <c r="K109" i="1" s="1"/>
  <c r="M109" i="1" s="1"/>
  <c r="I110" i="1"/>
  <c r="K110" i="1" s="1"/>
  <c r="M110" i="1" s="1"/>
  <c r="I111" i="1"/>
  <c r="K111" i="1" s="1"/>
  <c r="M111" i="1" s="1"/>
  <c r="I112" i="1"/>
  <c r="K112" i="1" s="1"/>
  <c r="M112" i="1" s="1"/>
  <c r="I113" i="1"/>
  <c r="K113" i="1" s="1"/>
  <c r="M113" i="1" s="1"/>
  <c r="I114" i="1"/>
  <c r="K114" i="1" s="1"/>
  <c r="M114" i="1" s="1"/>
  <c r="I115" i="1"/>
  <c r="K115" i="1" s="1"/>
  <c r="M115" i="1" s="1"/>
  <c r="I116" i="1"/>
  <c r="K116" i="1" s="1"/>
  <c r="M116" i="1" s="1"/>
  <c r="I117" i="1"/>
  <c r="K117" i="1" s="1"/>
  <c r="M117" i="1" s="1"/>
  <c r="I118" i="1"/>
  <c r="K118" i="1" s="1"/>
  <c r="M118" i="1" s="1"/>
  <c r="I119" i="1"/>
  <c r="K119" i="1" s="1"/>
  <c r="M119" i="1" s="1"/>
  <c r="I120" i="1"/>
  <c r="K120" i="1" s="1"/>
  <c r="M120" i="1" s="1"/>
  <c r="I121" i="1"/>
  <c r="K121" i="1" s="1"/>
  <c r="I122" i="1"/>
  <c r="K122" i="1" s="1"/>
  <c r="M122" i="1" s="1"/>
  <c r="I123" i="1"/>
  <c r="K123" i="1" s="1"/>
  <c r="M123" i="1" s="1"/>
  <c r="I124" i="1"/>
  <c r="K124" i="1" s="1"/>
  <c r="M124" i="1" s="1"/>
  <c r="I125" i="1"/>
  <c r="K125" i="1" s="1"/>
  <c r="M125" i="1" s="1"/>
  <c r="I126" i="1"/>
  <c r="K126" i="1" s="1"/>
  <c r="M126" i="1" s="1"/>
  <c r="I127" i="1"/>
  <c r="K127" i="1" s="1"/>
  <c r="M127" i="1" s="1"/>
  <c r="I128" i="1"/>
  <c r="K128" i="1" s="1"/>
  <c r="M128" i="1" s="1"/>
  <c r="I129" i="1"/>
  <c r="K129" i="1" s="1"/>
  <c r="I130" i="1"/>
  <c r="K130" i="1" s="1"/>
  <c r="M130" i="1" s="1"/>
  <c r="I131" i="1"/>
  <c r="K131" i="1" s="1"/>
  <c r="M131" i="1" s="1"/>
  <c r="I132" i="1"/>
  <c r="K132" i="1" s="1"/>
  <c r="M132" i="1" s="1"/>
  <c r="I133" i="1"/>
  <c r="K133" i="1" s="1"/>
  <c r="M133" i="1" s="1"/>
  <c r="I134" i="1"/>
  <c r="K134" i="1" s="1"/>
  <c r="M134" i="1" s="1"/>
  <c r="I135" i="1"/>
  <c r="K135" i="1" s="1"/>
  <c r="M135" i="1" s="1"/>
  <c r="I136" i="1"/>
  <c r="K136" i="1" s="1"/>
  <c r="M136" i="1" s="1"/>
  <c r="I137" i="1"/>
  <c r="K137" i="1" s="1"/>
  <c r="M137" i="1" s="1"/>
  <c r="I138" i="1"/>
  <c r="K138" i="1" s="1"/>
  <c r="M138" i="1" s="1"/>
  <c r="I139" i="1"/>
  <c r="K139" i="1" s="1"/>
  <c r="M139" i="1" s="1"/>
  <c r="I140" i="1"/>
  <c r="K140" i="1" s="1"/>
  <c r="M140" i="1" s="1"/>
  <c r="I141" i="1"/>
  <c r="K141" i="1" s="1"/>
  <c r="M141" i="1" s="1"/>
  <c r="I142" i="1"/>
  <c r="K142" i="1" s="1"/>
  <c r="M142" i="1" s="1"/>
  <c r="I143" i="1"/>
  <c r="K143" i="1" s="1"/>
  <c r="M143" i="1" s="1"/>
  <c r="I144" i="1"/>
  <c r="K144" i="1" s="1"/>
  <c r="M144" i="1" s="1"/>
  <c r="I145" i="1"/>
  <c r="K145" i="1" s="1"/>
  <c r="I146" i="1"/>
  <c r="K146" i="1" s="1"/>
  <c r="M146" i="1" s="1"/>
  <c r="I147" i="1"/>
  <c r="K147" i="1" s="1"/>
  <c r="M147" i="1" s="1"/>
  <c r="I148" i="1"/>
  <c r="K148" i="1" s="1"/>
  <c r="M148" i="1" s="1"/>
  <c r="I149" i="1"/>
  <c r="K149" i="1" s="1"/>
  <c r="M149" i="1" s="1"/>
  <c r="I150" i="1"/>
  <c r="K150" i="1" s="1"/>
  <c r="M150" i="1" s="1"/>
  <c r="I151" i="1"/>
  <c r="K151" i="1" s="1"/>
  <c r="M151" i="1" s="1"/>
  <c r="I152" i="1"/>
  <c r="K152" i="1" s="1"/>
  <c r="M152" i="1" s="1"/>
  <c r="I153" i="1"/>
  <c r="K153" i="1" s="1"/>
  <c r="I154" i="1"/>
  <c r="K154" i="1" s="1"/>
  <c r="M154" i="1" s="1"/>
  <c r="I155" i="1"/>
  <c r="K155" i="1" s="1"/>
  <c r="M155" i="1" s="1"/>
  <c r="I156" i="1"/>
  <c r="K156" i="1" s="1"/>
  <c r="M156" i="1" s="1"/>
  <c r="I157" i="1"/>
  <c r="K157" i="1" s="1"/>
  <c r="M157" i="1" s="1"/>
  <c r="I158" i="1"/>
  <c r="K158" i="1" s="1"/>
  <c r="M158" i="1" s="1"/>
  <c r="I159" i="1"/>
  <c r="K159" i="1" s="1"/>
  <c r="M159" i="1" s="1"/>
  <c r="I160" i="1"/>
  <c r="K160" i="1" s="1"/>
  <c r="M160" i="1" s="1"/>
  <c r="I161" i="1"/>
  <c r="K161" i="1" s="1"/>
  <c r="M161" i="1" s="1"/>
  <c r="I162" i="1"/>
  <c r="K162" i="1" s="1"/>
  <c r="M162" i="1" s="1"/>
  <c r="I163" i="1"/>
  <c r="K163" i="1" s="1"/>
  <c r="M163" i="1" s="1"/>
  <c r="I164" i="1"/>
  <c r="K164" i="1" s="1"/>
  <c r="M164" i="1" s="1"/>
  <c r="I165" i="1"/>
  <c r="K165" i="1" s="1"/>
  <c r="I166" i="1"/>
  <c r="K166" i="1" s="1"/>
  <c r="M166" i="1" s="1"/>
  <c r="I167" i="1"/>
  <c r="K167" i="1" s="1"/>
  <c r="M167" i="1" s="1"/>
  <c r="I168" i="1"/>
  <c r="K168" i="1" s="1"/>
  <c r="M168" i="1" s="1"/>
  <c r="I169" i="1"/>
  <c r="K169" i="1" s="1"/>
  <c r="M169" i="1" s="1"/>
  <c r="I170" i="1"/>
  <c r="K170" i="1" s="1"/>
  <c r="M170" i="1" s="1"/>
  <c r="I171" i="1"/>
  <c r="K171" i="1" s="1"/>
  <c r="M171" i="1" s="1"/>
  <c r="I172" i="1"/>
  <c r="K172" i="1" s="1"/>
  <c r="M172" i="1" s="1"/>
  <c r="I173" i="1"/>
  <c r="K173" i="1" s="1"/>
  <c r="M173" i="1" s="1"/>
  <c r="I174" i="1"/>
  <c r="K174" i="1" s="1"/>
  <c r="M174" i="1" s="1"/>
  <c r="I175" i="1"/>
  <c r="K175" i="1" s="1"/>
  <c r="M175" i="1" s="1"/>
  <c r="I176" i="1"/>
  <c r="K176" i="1" s="1"/>
  <c r="M176" i="1" s="1"/>
  <c r="I177" i="1"/>
  <c r="K177" i="1" s="1"/>
  <c r="M177" i="1" s="1"/>
  <c r="I178" i="1"/>
  <c r="K178" i="1" s="1"/>
  <c r="M178" i="1" s="1"/>
  <c r="I179" i="1"/>
  <c r="K179" i="1" s="1"/>
  <c r="M179" i="1" s="1"/>
  <c r="I180" i="1"/>
  <c r="K180" i="1" s="1"/>
  <c r="M180" i="1" s="1"/>
  <c r="I181" i="1"/>
  <c r="K181" i="1" s="1"/>
  <c r="M181" i="1" s="1"/>
  <c r="I182" i="1"/>
  <c r="K182" i="1" s="1"/>
  <c r="M182" i="1" s="1"/>
  <c r="I183" i="1"/>
  <c r="K183" i="1" s="1"/>
  <c r="M183" i="1" s="1"/>
  <c r="I184" i="1"/>
  <c r="K184" i="1" s="1"/>
  <c r="M184" i="1" s="1"/>
  <c r="I185" i="1"/>
  <c r="K185" i="1" s="1"/>
  <c r="I186" i="1"/>
  <c r="K186" i="1" s="1"/>
  <c r="M186" i="1" s="1"/>
  <c r="I187" i="1"/>
  <c r="K187" i="1" s="1"/>
  <c r="M187" i="1" s="1"/>
  <c r="I188" i="1"/>
  <c r="K188" i="1" s="1"/>
  <c r="M188" i="1" s="1"/>
  <c r="I189" i="1"/>
  <c r="K189" i="1" s="1"/>
  <c r="M189" i="1" s="1"/>
  <c r="I190" i="1"/>
  <c r="K190" i="1" s="1"/>
  <c r="M190" i="1" s="1"/>
  <c r="I191" i="1"/>
  <c r="K191" i="1" s="1"/>
  <c r="M191" i="1" s="1"/>
  <c r="I192" i="1"/>
  <c r="K192" i="1" s="1"/>
  <c r="M192" i="1" s="1"/>
  <c r="I193" i="1"/>
  <c r="K193" i="1" s="1"/>
  <c r="M193" i="1" s="1"/>
  <c r="I194" i="1"/>
  <c r="K194" i="1" s="1"/>
  <c r="M194" i="1" s="1"/>
  <c r="I195" i="1"/>
  <c r="K195" i="1" s="1"/>
  <c r="M195" i="1" s="1"/>
  <c r="I196" i="1"/>
  <c r="K196" i="1" s="1"/>
  <c r="M196" i="1" s="1"/>
  <c r="I197" i="1"/>
  <c r="K197" i="1" s="1"/>
  <c r="M197" i="1" s="1"/>
  <c r="I198" i="1"/>
  <c r="K198" i="1" s="1"/>
  <c r="M198" i="1" s="1"/>
  <c r="I199" i="1"/>
  <c r="K199" i="1" s="1"/>
  <c r="M199" i="1" s="1"/>
  <c r="I200" i="1"/>
  <c r="K200" i="1" s="1"/>
  <c r="M200" i="1" s="1"/>
  <c r="I201" i="1"/>
  <c r="K201" i="1" s="1"/>
  <c r="I202" i="1"/>
  <c r="K202" i="1" s="1"/>
  <c r="M202" i="1" s="1"/>
  <c r="I203" i="1"/>
  <c r="K203" i="1" s="1"/>
  <c r="M203" i="1" s="1"/>
  <c r="I204" i="1"/>
  <c r="K204" i="1" s="1"/>
  <c r="M204" i="1" s="1"/>
  <c r="I205" i="1"/>
  <c r="K205" i="1" s="1"/>
  <c r="M205" i="1" s="1"/>
  <c r="I206" i="1"/>
  <c r="K206" i="1" s="1"/>
  <c r="M206" i="1" s="1"/>
  <c r="I207" i="1"/>
  <c r="K207" i="1" s="1"/>
  <c r="M207" i="1" s="1"/>
  <c r="I208" i="1"/>
  <c r="K208" i="1" s="1"/>
  <c r="M208" i="1" s="1"/>
  <c r="I209" i="1"/>
  <c r="K209" i="1" s="1"/>
  <c r="M209" i="1" s="1"/>
  <c r="I210" i="1"/>
  <c r="K210" i="1" s="1"/>
  <c r="M210" i="1" s="1"/>
  <c r="I211" i="1"/>
  <c r="K211" i="1" s="1"/>
  <c r="M211" i="1" s="1"/>
  <c r="I212" i="1"/>
  <c r="K212" i="1" s="1"/>
  <c r="M212" i="1" s="1"/>
  <c r="I213" i="1"/>
  <c r="K213" i="1" s="1"/>
  <c r="M213" i="1" s="1"/>
  <c r="I214" i="1"/>
  <c r="K214" i="1" s="1"/>
  <c r="M214" i="1" s="1"/>
  <c r="I215" i="1"/>
  <c r="K215" i="1" s="1"/>
  <c r="M215" i="1" s="1"/>
  <c r="I216" i="1"/>
  <c r="K216" i="1" s="1"/>
  <c r="M216" i="1" s="1"/>
  <c r="I217" i="1"/>
  <c r="K217" i="1" s="1"/>
  <c r="M217" i="1" s="1"/>
  <c r="I218" i="1"/>
  <c r="K218" i="1" s="1"/>
  <c r="M218" i="1" s="1"/>
  <c r="I219" i="1"/>
  <c r="K219" i="1" s="1"/>
  <c r="M219" i="1" s="1"/>
  <c r="I220" i="1"/>
  <c r="K220" i="1" s="1"/>
  <c r="M220" i="1" s="1"/>
  <c r="I221" i="1"/>
  <c r="K221" i="1" s="1"/>
  <c r="I222" i="1"/>
  <c r="K222" i="1" s="1"/>
  <c r="M222" i="1" s="1"/>
  <c r="I223" i="1"/>
  <c r="K223" i="1" s="1"/>
  <c r="M223" i="1" s="1"/>
  <c r="I224" i="1"/>
  <c r="K224" i="1" s="1"/>
  <c r="M224" i="1" s="1"/>
  <c r="I225" i="1"/>
  <c r="K225" i="1" s="1"/>
  <c r="I226" i="1"/>
  <c r="K226" i="1" s="1"/>
  <c r="M226" i="1" s="1"/>
  <c r="I227" i="1"/>
  <c r="K227" i="1" s="1"/>
  <c r="M227" i="1" s="1"/>
  <c r="I228" i="1"/>
  <c r="K228" i="1" s="1"/>
  <c r="M228" i="1" s="1"/>
  <c r="I229" i="1"/>
  <c r="K229" i="1" s="1"/>
  <c r="M229" i="1" s="1"/>
  <c r="I230" i="1"/>
  <c r="K230" i="1" s="1"/>
  <c r="M230" i="1" s="1"/>
  <c r="I231" i="1"/>
  <c r="K231" i="1" s="1"/>
  <c r="M231" i="1" s="1"/>
  <c r="I232" i="1"/>
  <c r="K232" i="1" s="1"/>
  <c r="M232" i="1" s="1"/>
  <c r="I233" i="1"/>
  <c r="K233" i="1" s="1"/>
  <c r="M233" i="1" s="1"/>
  <c r="I234" i="1"/>
  <c r="K234" i="1" s="1"/>
  <c r="M234" i="1" s="1"/>
  <c r="I235" i="1"/>
  <c r="K235" i="1" s="1"/>
  <c r="M235" i="1" s="1"/>
  <c r="I236" i="1"/>
  <c r="K236" i="1" s="1"/>
  <c r="M236" i="1" s="1"/>
  <c r="I237" i="1"/>
  <c r="K237" i="1" s="1"/>
  <c r="I238" i="1"/>
  <c r="K238" i="1" s="1"/>
  <c r="M238" i="1" s="1"/>
  <c r="I239" i="1"/>
  <c r="K239" i="1" s="1"/>
  <c r="M239" i="1" s="1"/>
  <c r="I240" i="1"/>
  <c r="K240" i="1" s="1"/>
  <c r="M240" i="1" s="1"/>
  <c r="I241" i="1"/>
  <c r="K241" i="1" s="1"/>
  <c r="I242" i="1"/>
  <c r="K242" i="1" s="1"/>
  <c r="M242" i="1" s="1"/>
  <c r="I243" i="1"/>
  <c r="K243" i="1" s="1"/>
  <c r="M243" i="1" s="1"/>
  <c r="I244" i="1"/>
  <c r="K244" i="1" s="1"/>
  <c r="M244" i="1" s="1"/>
  <c r="I245" i="1"/>
  <c r="K245" i="1" s="1"/>
  <c r="M245" i="1" s="1"/>
  <c r="I246" i="1"/>
  <c r="K246" i="1" s="1"/>
  <c r="M246" i="1" s="1"/>
  <c r="I247" i="1"/>
  <c r="K247" i="1" s="1"/>
  <c r="M247" i="1" s="1"/>
  <c r="I248" i="1"/>
  <c r="K248" i="1" s="1"/>
  <c r="M248" i="1" s="1"/>
  <c r="I249" i="1"/>
  <c r="K249" i="1" s="1"/>
  <c r="M249" i="1" s="1"/>
  <c r="I250" i="1"/>
  <c r="K250" i="1" s="1"/>
  <c r="M250" i="1" s="1"/>
  <c r="I251" i="1"/>
  <c r="K251" i="1" s="1"/>
  <c r="M251" i="1" s="1"/>
  <c r="I252" i="1"/>
  <c r="K252" i="1" s="1"/>
  <c r="M252" i="1" s="1"/>
  <c r="I253" i="1"/>
  <c r="K253" i="1" s="1"/>
  <c r="M253" i="1" s="1"/>
  <c r="I254" i="1"/>
  <c r="K254" i="1" s="1"/>
  <c r="M254" i="1" s="1"/>
  <c r="I255" i="1"/>
  <c r="K255" i="1" s="1"/>
  <c r="M255" i="1" s="1"/>
  <c r="I256" i="1"/>
  <c r="K256" i="1" s="1"/>
  <c r="M256" i="1" s="1"/>
  <c r="I257" i="1"/>
  <c r="K257" i="1" s="1"/>
  <c r="M257" i="1" s="1"/>
  <c r="I258" i="1"/>
  <c r="K258" i="1" s="1"/>
  <c r="M258" i="1" s="1"/>
  <c r="I259" i="1"/>
  <c r="K259" i="1" s="1"/>
  <c r="M259" i="1" s="1"/>
  <c r="I260" i="1"/>
  <c r="K260" i="1" s="1"/>
  <c r="M260" i="1" s="1"/>
  <c r="I261" i="1"/>
  <c r="K261" i="1" s="1"/>
  <c r="I262" i="1"/>
  <c r="K262" i="1" s="1"/>
  <c r="M262" i="1" s="1"/>
  <c r="I263" i="1"/>
  <c r="K263" i="1" s="1"/>
  <c r="M263" i="1" s="1"/>
  <c r="I264" i="1"/>
  <c r="K264" i="1" s="1"/>
  <c r="M264" i="1" s="1"/>
  <c r="I265" i="1"/>
  <c r="K265" i="1" s="1"/>
  <c r="M265" i="1" s="1"/>
  <c r="I266" i="1"/>
  <c r="K266" i="1" s="1"/>
  <c r="M266" i="1" s="1"/>
  <c r="I267" i="1"/>
  <c r="K267" i="1" s="1"/>
  <c r="M267" i="1" s="1"/>
  <c r="I268" i="1"/>
  <c r="K268" i="1" s="1"/>
  <c r="M268" i="1" s="1"/>
  <c r="I269" i="1"/>
  <c r="K269" i="1" s="1"/>
  <c r="M269" i="1" s="1"/>
  <c r="I270" i="1"/>
  <c r="K270" i="1" s="1"/>
  <c r="M270" i="1" s="1"/>
  <c r="I271" i="1"/>
  <c r="K271" i="1" s="1"/>
  <c r="M271" i="1" s="1"/>
  <c r="I272" i="1"/>
  <c r="K272" i="1" s="1"/>
  <c r="M272" i="1" s="1"/>
  <c r="I273" i="1"/>
  <c r="K273" i="1" s="1"/>
  <c r="M273" i="1" s="1"/>
  <c r="I274" i="1"/>
  <c r="K274" i="1" s="1"/>
  <c r="M274" i="1" s="1"/>
  <c r="I275" i="1"/>
  <c r="K275" i="1" s="1"/>
  <c r="M275" i="1" s="1"/>
  <c r="I276" i="1"/>
  <c r="K276" i="1" s="1"/>
  <c r="M276" i="1" s="1"/>
  <c r="I277" i="1"/>
  <c r="K277" i="1" s="1"/>
  <c r="M277" i="1" s="1"/>
  <c r="I278" i="1"/>
  <c r="K278" i="1" s="1"/>
  <c r="M278" i="1" s="1"/>
  <c r="I279" i="1"/>
  <c r="K279" i="1" s="1"/>
  <c r="M279" i="1" s="1"/>
  <c r="I280" i="1"/>
  <c r="K280" i="1" s="1"/>
  <c r="M280" i="1" s="1"/>
  <c r="I281" i="1"/>
  <c r="K281" i="1" s="1"/>
  <c r="M281" i="1" s="1"/>
  <c r="I282" i="1"/>
  <c r="K282" i="1" s="1"/>
  <c r="M282" i="1" s="1"/>
  <c r="I283" i="1"/>
  <c r="K283" i="1" s="1"/>
  <c r="M283" i="1" s="1"/>
  <c r="I284" i="1"/>
  <c r="K284" i="1" s="1"/>
  <c r="M284" i="1" s="1"/>
  <c r="I285" i="1"/>
  <c r="K285" i="1" s="1"/>
  <c r="M285" i="1" s="1"/>
  <c r="I286" i="1"/>
  <c r="K286" i="1" s="1"/>
  <c r="M286" i="1" s="1"/>
  <c r="I287" i="1"/>
  <c r="K287" i="1" s="1"/>
  <c r="M287" i="1" s="1"/>
  <c r="I288" i="1"/>
  <c r="K288" i="1" s="1"/>
  <c r="M288" i="1" s="1"/>
  <c r="I289" i="1"/>
  <c r="K289" i="1" s="1"/>
  <c r="M289" i="1" s="1"/>
  <c r="I290" i="1"/>
  <c r="K290" i="1" s="1"/>
  <c r="M290" i="1" s="1"/>
  <c r="I291" i="1"/>
  <c r="K291" i="1" s="1"/>
  <c r="M291" i="1" s="1"/>
  <c r="I292" i="1"/>
  <c r="K292" i="1" s="1"/>
  <c r="M292" i="1" s="1"/>
  <c r="I293" i="1"/>
  <c r="K293" i="1" s="1"/>
  <c r="M293" i="1" s="1"/>
  <c r="I294" i="1"/>
  <c r="K294" i="1" s="1"/>
  <c r="M294" i="1" s="1"/>
  <c r="I295" i="1"/>
  <c r="K295" i="1" s="1"/>
  <c r="M295" i="1" s="1"/>
  <c r="I296" i="1"/>
  <c r="K296" i="1" s="1"/>
  <c r="M296" i="1" s="1"/>
  <c r="I297" i="1"/>
  <c r="K297" i="1" s="1"/>
  <c r="I298" i="1"/>
  <c r="K298" i="1" s="1"/>
  <c r="M298" i="1" s="1"/>
  <c r="I299" i="1"/>
  <c r="K299" i="1" s="1"/>
  <c r="M299" i="1" s="1"/>
  <c r="I300" i="1"/>
  <c r="K300" i="1" s="1"/>
  <c r="M300" i="1" s="1"/>
  <c r="I301" i="1"/>
  <c r="K301" i="1" s="1"/>
  <c r="M301" i="1" s="1"/>
  <c r="I302" i="1"/>
  <c r="K302" i="1" s="1"/>
  <c r="M302" i="1" s="1"/>
  <c r="I303" i="1"/>
  <c r="K303" i="1" s="1"/>
  <c r="M303" i="1" s="1"/>
  <c r="I304" i="1"/>
  <c r="K304" i="1" s="1"/>
  <c r="M304" i="1" s="1"/>
  <c r="I305" i="1"/>
  <c r="K305" i="1" s="1"/>
  <c r="M305" i="1" s="1"/>
  <c r="I306" i="1"/>
  <c r="K306" i="1" s="1"/>
  <c r="M306" i="1" s="1"/>
  <c r="I307" i="1"/>
  <c r="K307" i="1" s="1"/>
  <c r="M307" i="1" s="1"/>
  <c r="I308" i="1"/>
  <c r="K308" i="1" s="1"/>
  <c r="M308" i="1" s="1"/>
  <c r="I309" i="1"/>
  <c r="K309" i="1" s="1"/>
  <c r="M309" i="1" s="1"/>
  <c r="I310" i="1"/>
  <c r="K310" i="1" s="1"/>
  <c r="M310" i="1" s="1"/>
  <c r="I311" i="1"/>
  <c r="K311" i="1" s="1"/>
  <c r="M311" i="1" s="1"/>
  <c r="I312" i="1"/>
  <c r="K312" i="1" s="1"/>
  <c r="M312" i="1" s="1"/>
  <c r="I313" i="1"/>
  <c r="K313" i="1" s="1"/>
  <c r="M313" i="1" s="1"/>
  <c r="I314" i="1"/>
  <c r="K314" i="1" s="1"/>
  <c r="M314" i="1" s="1"/>
  <c r="I315" i="1"/>
  <c r="K315" i="1" s="1"/>
  <c r="M315" i="1" s="1"/>
  <c r="I316" i="1"/>
  <c r="K316" i="1" s="1"/>
  <c r="M316" i="1" s="1"/>
  <c r="I317" i="1"/>
  <c r="K317" i="1" s="1"/>
  <c r="M317" i="1" s="1"/>
  <c r="I318" i="1"/>
  <c r="K318" i="1" s="1"/>
  <c r="M318" i="1" s="1"/>
  <c r="I319" i="1"/>
  <c r="K319" i="1" s="1"/>
  <c r="M319" i="1" s="1"/>
  <c r="I320" i="1"/>
  <c r="K320" i="1" s="1"/>
  <c r="M320" i="1" s="1"/>
  <c r="I321" i="1"/>
  <c r="K321" i="1" s="1"/>
  <c r="M321" i="1" s="1"/>
  <c r="I322" i="1"/>
  <c r="K322" i="1" s="1"/>
  <c r="M322" i="1" s="1"/>
  <c r="I323" i="1"/>
  <c r="K323" i="1" s="1"/>
  <c r="M323" i="1" s="1"/>
  <c r="I324" i="1"/>
  <c r="K324" i="1" s="1"/>
  <c r="M324" i="1" s="1"/>
  <c r="I325" i="1"/>
  <c r="K325" i="1" s="1"/>
  <c r="M325" i="1" s="1"/>
  <c r="I326" i="1"/>
  <c r="K326" i="1" s="1"/>
  <c r="M326" i="1" s="1"/>
  <c r="I327" i="1"/>
  <c r="K327" i="1" s="1"/>
  <c r="M327" i="1" s="1"/>
  <c r="I328" i="1"/>
  <c r="K328" i="1" s="1"/>
  <c r="M328" i="1" s="1"/>
  <c r="I329" i="1"/>
  <c r="K329" i="1" s="1"/>
  <c r="M329" i="1" s="1"/>
  <c r="I330" i="1"/>
  <c r="K330" i="1" s="1"/>
  <c r="I331" i="1"/>
  <c r="I332" i="1"/>
  <c r="K332" i="1" s="1"/>
  <c r="M332" i="1" s="1"/>
  <c r="I333" i="1"/>
  <c r="K333" i="1" s="1"/>
  <c r="M333" i="1" s="1"/>
  <c r="I334" i="1"/>
  <c r="K334" i="1" s="1"/>
  <c r="M334" i="1" s="1"/>
  <c r="I335" i="1"/>
  <c r="K335" i="1" s="1"/>
  <c r="M335" i="1" s="1"/>
  <c r="I336" i="1"/>
  <c r="K336" i="1" s="1"/>
  <c r="M336" i="1" s="1"/>
  <c r="I337" i="1"/>
  <c r="K337" i="1" s="1"/>
  <c r="M337" i="1" s="1"/>
  <c r="I338" i="1"/>
  <c r="K338" i="1" s="1"/>
  <c r="I339" i="1"/>
  <c r="K339" i="1" s="1"/>
  <c r="M339" i="1" s="1"/>
  <c r="I340" i="1"/>
  <c r="K340" i="1" s="1"/>
  <c r="M340" i="1" s="1"/>
  <c r="I341" i="1"/>
  <c r="K341" i="1" s="1"/>
  <c r="M341" i="1" s="1"/>
  <c r="I342" i="1"/>
  <c r="K342" i="1" s="1"/>
  <c r="I343" i="1"/>
  <c r="K343" i="1" s="1"/>
  <c r="I344" i="1"/>
  <c r="K344" i="1" s="1"/>
  <c r="M344" i="1" s="1"/>
  <c r="I345" i="1"/>
  <c r="K345" i="1" s="1"/>
  <c r="M345" i="1" s="1"/>
  <c r="I346" i="1"/>
  <c r="K346" i="1" s="1"/>
  <c r="I347" i="1"/>
  <c r="K347" i="1" s="1"/>
  <c r="M347" i="1" s="1"/>
  <c r="I348" i="1"/>
  <c r="K348" i="1" s="1"/>
  <c r="M348" i="1" s="1"/>
  <c r="I349" i="1"/>
  <c r="K349" i="1" s="1"/>
  <c r="M349" i="1" s="1"/>
  <c r="I350" i="1"/>
  <c r="K350" i="1" s="1"/>
  <c r="I351" i="1"/>
  <c r="K351" i="1" s="1"/>
  <c r="I352" i="1"/>
  <c r="K352" i="1" s="1"/>
  <c r="M352" i="1" s="1"/>
  <c r="I353" i="1"/>
  <c r="K353" i="1" s="1"/>
  <c r="M353" i="1" s="1"/>
  <c r="I354" i="1"/>
  <c r="K354" i="1" s="1"/>
  <c r="I355" i="1"/>
  <c r="K355" i="1" s="1"/>
  <c r="I356" i="1"/>
  <c r="K356" i="1" s="1"/>
  <c r="M356" i="1" s="1"/>
  <c r="I357" i="1"/>
  <c r="K357" i="1" s="1"/>
  <c r="I358" i="1"/>
  <c r="K358" i="1" s="1"/>
  <c r="I359" i="1"/>
  <c r="K359" i="1" s="1"/>
  <c r="I360" i="1"/>
  <c r="K360" i="1" s="1"/>
  <c r="M360" i="1" s="1"/>
  <c r="I361" i="1"/>
  <c r="K361" i="1" s="1"/>
  <c r="M361" i="1" s="1"/>
  <c r="I362" i="1"/>
  <c r="K362" i="1" s="1"/>
  <c r="I363" i="1"/>
  <c r="K363" i="1" s="1"/>
  <c r="M363" i="1" s="1"/>
  <c r="I364" i="1"/>
  <c r="K364" i="1" s="1"/>
  <c r="M364" i="1" s="1"/>
  <c r="I365" i="1"/>
  <c r="K365" i="1" s="1"/>
  <c r="M365" i="1" s="1"/>
  <c r="I366" i="1"/>
  <c r="K366" i="1" s="1"/>
  <c r="I367" i="1"/>
  <c r="K367" i="1" s="1"/>
  <c r="I368" i="1"/>
  <c r="K368" i="1" s="1"/>
  <c r="M368" i="1" s="1"/>
  <c r="I369" i="1"/>
  <c r="K369" i="1" s="1"/>
  <c r="M369" i="1" s="1"/>
  <c r="I370" i="1"/>
  <c r="K370" i="1" s="1"/>
  <c r="I371" i="1"/>
  <c r="K371" i="1" s="1"/>
  <c r="I372" i="1"/>
  <c r="K372" i="1" s="1"/>
  <c r="M372" i="1" s="1"/>
  <c r="I373" i="1"/>
  <c r="K373" i="1" s="1"/>
  <c r="M373" i="1" s="1"/>
  <c r="I374" i="1"/>
  <c r="K374" i="1" s="1"/>
  <c r="I375" i="1"/>
  <c r="K375" i="1" s="1"/>
  <c r="I376" i="1"/>
  <c r="K376" i="1" s="1"/>
  <c r="I377" i="1"/>
  <c r="K377" i="1" s="1"/>
  <c r="M377" i="1" s="1"/>
  <c r="I378" i="1"/>
  <c r="K378" i="1" s="1"/>
  <c r="I379" i="1"/>
  <c r="K379" i="1" s="1"/>
  <c r="M379" i="1" s="1"/>
  <c r="I380" i="1"/>
  <c r="K380" i="1" s="1"/>
  <c r="M380" i="1" s="1"/>
  <c r="I381" i="1"/>
  <c r="K381" i="1" s="1"/>
  <c r="M381" i="1" s="1"/>
  <c r="I382" i="1"/>
  <c r="K382" i="1" s="1"/>
  <c r="I383" i="1"/>
  <c r="K383" i="1" s="1"/>
  <c r="I384" i="1"/>
  <c r="K384" i="1" s="1"/>
  <c r="M384" i="1" s="1"/>
  <c r="I385" i="1"/>
  <c r="K385" i="1" s="1"/>
  <c r="M385" i="1" s="1"/>
  <c r="I386" i="1"/>
  <c r="K386" i="1" s="1"/>
  <c r="I387" i="1"/>
  <c r="K387" i="1" s="1"/>
  <c r="I388" i="1"/>
  <c r="K388" i="1" s="1"/>
  <c r="M388" i="1" s="1"/>
  <c r="I389" i="1"/>
  <c r="K389" i="1" s="1"/>
  <c r="I390" i="1"/>
  <c r="K390" i="1" s="1"/>
  <c r="I391" i="1"/>
  <c r="K391" i="1" s="1"/>
  <c r="I392" i="1"/>
  <c r="K392" i="1" s="1"/>
  <c r="M392" i="1" s="1"/>
  <c r="I393" i="1"/>
  <c r="K393" i="1" s="1"/>
  <c r="M393" i="1" s="1"/>
  <c r="I394" i="1"/>
  <c r="K394" i="1" s="1"/>
  <c r="I395" i="1"/>
  <c r="K395" i="1" s="1"/>
  <c r="M395" i="1" s="1"/>
  <c r="I396" i="1"/>
  <c r="K396" i="1" s="1"/>
  <c r="M396" i="1" s="1"/>
  <c r="I397" i="1"/>
  <c r="K397" i="1" s="1"/>
  <c r="M397" i="1" s="1"/>
  <c r="I398" i="1"/>
  <c r="K398" i="1" s="1"/>
  <c r="I399" i="1"/>
  <c r="K399" i="1" s="1"/>
  <c r="I400" i="1"/>
  <c r="K400" i="1" s="1"/>
  <c r="M400" i="1" s="1"/>
  <c r="I401" i="1"/>
  <c r="K401" i="1" s="1"/>
  <c r="M401" i="1" s="1"/>
  <c r="I402" i="1"/>
  <c r="K402" i="1" s="1"/>
  <c r="I403" i="1"/>
  <c r="K403" i="1" s="1"/>
  <c r="I404" i="1"/>
  <c r="K404" i="1" s="1"/>
  <c r="M404" i="1" s="1"/>
  <c r="I405" i="1"/>
  <c r="K405" i="1" s="1"/>
  <c r="I406" i="1"/>
  <c r="K406" i="1" s="1"/>
  <c r="I407" i="1"/>
  <c r="K407" i="1" s="1"/>
  <c r="I408" i="1"/>
  <c r="K408" i="1" s="1"/>
  <c r="M408" i="1" s="1"/>
  <c r="I409" i="1"/>
  <c r="K409" i="1" s="1"/>
  <c r="M409" i="1" s="1"/>
  <c r="I410" i="1"/>
  <c r="K410" i="1" s="1"/>
  <c r="I411" i="1"/>
  <c r="K411" i="1" s="1"/>
  <c r="M411" i="1" s="1"/>
  <c r="I412" i="1"/>
  <c r="K412" i="1" s="1"/>
  <c r="M412" i="1" s="1"/>
  <c r="I413" i="1"/>
  <c r="K413" i="1" s="1"/>
  <c r="M413" i="1" s="1"/>
  <c r="I414" i="1"/>
  <c r="K414" i="1" s="1"/>
  <c r="I415" i="1"/>
  <c r="K415" i="1" s="1"/>
  <c r="I416" i="1"/>
  <c r="K416" i="1" s="1"/>
  <c r="M416" i="1" s="1"/>
  <c r="I417" i="1"/>
  <c r="K417" i="1" s="1"/>
  <c r="M417" i="1" s="1"/>
  <c r="I418" i="1"/>
  <c r="K418" i="1" s="1"/>
  <c r="I419" i="1"/>
  <c r="K419" i="1" s="1"/>
  <c r="I420" i="1"/>
  <c r="K420" i="1" s="1"/>
  <c r="M420" i="1" s="1"/>
  <c r="I421" i="1"/>
  <c r="K421" i="1" s="1"/>
  <c r="M421" i="1" s="1"/>
  <c r="I422" i="1"/>
  <c r="K422" i="1" s="1"/>
  <c r="I423" i="1"/>
  <c r="K423" i="1" s="1"/>
  <c r="I424" i="1"/>
  <c r="K424" i="1" s="1"/>
  <c r="M424" i="1" s="1"/>
  <c r="I425" i="1"/>
  <c r="K425" i="1" s="1"/>
  <c r="M425" i="1" s="1"/>
  <c r="I426" i="1"/>
  <c r="K426" i="1" s="1"/>
  <c r="I427" i="1"/>
  <c r="K427" i="1" s="1"/>
  <c r="M427" i="1" s="1"/>
  <c r="I428" i="1"/>
  <c r="K428" i="1" s="1"/>
  <c r="M428" i="1" s="1"/>
  <c r="I429" i="1"/>
  <c r="K429" i="1" s="1"/>
  <c r="M429" i="1" s="1"/>
  <c r="I430" i="1"/>
  <c r="K430" i="1" s="1"/>
  <c r="I431" i="1"/>
  <c r="K431" i="1" s="1"/>
  <c r="I432" i="1"/>
  <c r="K432" i="1" s="1"/>
  <c r="M432" i="1" s="1"/>
  <c r="I433" i="1"/>
  <c r="K433" i="1" s="1"/>
  <c r="M433" i="1" s="1"/>
  <c r="I434" i="1"/>
  <c r="K434" i="1" s="1"/>
  <c r="I435" i="1"/>
  <c r="K435" i="1" s="1"/>
  <c r="I436" i="1"/>
  <c r="K436" i="1" s="1"/>
  <c r="M436" i="1" s="1"/>
  <c r="I437" i="1"/>
  <c r="K437" i="1" s="1"/>
  <c r="M437" i="1" s="1"/>
  <c r="I438" i="1"/>
  <c r="K438" i="1" s="1"/>
  <c r="I439" i="1"/>
  <c r="K439" i="1" s="1"/>
  <c r="I440" i="1"/>
  <c r="K440" i="1" s="1"/>
  <c r="M440" i="1" s="1"/>
  <c r="I441" i="1"/>
  <c r="K441" i="1" s="1"/>
  <c r="M441" i="1" s="1"/>
  <c r="I442" i="1"/>
  <c r="K442" i="1" s="1"/>
  <c r="I443" i="1"/>
  <c r="K443" i="1" s="1"/>
  <c r="I444" i="1"/>
  <c r="K444" i="1" s="1"/>
  <c r="M444" i="1" s="1"/>
  <c r="I445" i="1"/>
  <c r="K445" i="1" s="1"/>
  <c r="M445" i="1" s="1"/>
  <c r="I446" i="1"/>
  <c r="K446" i="1" s="1"/>
  <c r="I447" i="1"/>
  <c r="K447" i="1" s="1"/>
  <c r="I448" i="1"/>
  <c r="K448" i="1" s="1"/>
  <c r="M448" i="1" s="1"/>
  <c r="I449" i="1"/>
  <c r="K449" i="1" s="1"/>
  <c r="M449" i="1" s="1"/>
  <c r="I450" i="1"/>
  <c r="K450" i="1" s="1"/>
  <c r="I451" i="1"/>
  <c r="K451" i="1" s="1"/>
  <c r="I452" i="1"/>
  <c r="K452" i="1" s="1"/>
  <c r="M452" i="1" s="1"/>
  <c r="I453" i="1"/>
  <c r="K453" i="1" s="1"/>
  <c r="M453" i="1" s="1"/>
  <c r="I454" i="1"/>
  <c r="K454" i="1" s="1"/>
  <c r="I455" i="1"/>
  <c r="K455" i="1" s="1"/>
  <c r="I456" i="1"/>
  <c r="K456" i="1" s="1"/>
  <c r="M456" i="1" s="1"/>
  <c r="I457" i="1"/>
  <c r="K457" i="1" s="1"/>
  <c r="M457" i="1" s="1"/>
  <c r="I458" i="1"/>
  <c r="K458" i="1" s="1"/>
  <c r="I459" i="1"/>
  <c r="K459" i="1" s="1"/>
  <c r="M459" i="1" s="1"/>
  <c r="I460" i="1"/>
  <c r="K460" i="1" s="1"/>
  <c r="M460" i="1" s="1"/>
  <c r="I461" i="1"/>
  <c r="K461" i="1" s="1"/>
  <c r="M461" i="1" s="1"/>
  <c r="I462" i="1"/>
  <c r="K462" i="1" s="1"/>
  <c r="I463" i="1"/>
  <c r="K463" i="1" s="1"/>
  <c r="I464" i="1"/>
  <c r="K464" i="1" s="1"/>
  <c r="M464" i="1" s="1"/>
  <c r="I465" i="1"/>
  <c r="K465" i="1" s="1"/>
  <c r="M465" i="1" s="1"/>
  <c r="I466" i="1"/>
  <c r="K466" i="1" s="1"/>
  <c r="I467" i="1"/>
  <c r="K467" i="1" s="1"/>
  <c r="I468" i="1"/>
  <c r="K468" i="1" s="1"/>
  <c r="M468" i="1" s="1"/>
  <c r="I469" i="1"/>
  <c r="K469" i="1" s="1"/>
  <c r="I470" i="1"/>
  <c r="K470" i="1" s="1"/>
  <c r="I471" i="1"/>
  <c r="K471" i="1" s="1"/>
  <c r="I472" i="1"/>
  <c r="K472" i="1" s="1"/>
  <c r="M472" i="1" s="1"/>
  <c r="I473" i="1"/>
  <c r="K473" i="1" s="1"/>
  <c r="M473" i="1" s="1"/>
  <c r="I474" i="1"/>
  <c r="K474" i="1" s="1"/>
  <c r="I475" i="1"/>
  <c r="K475" i="1" s="1"/>
  <c r="M475" i="1" s="1"/>
  <c r="I476" i="1"/>
  <c r="K476" i="1" s="1"/>
  <c r="M476" i="1" s="1"/>
  <c r="I477" i="1"/>
  <c r="K477" i="1" s="1"/>
  <c r="M477" i="1" s="1"/>
  <c r="I478" i="1"/>
  <c r="K478" i="1" s="1"/>
  <c r="I479" i="1"/>
  <c r="K479" i="1" s="1"/>
  <c r="I480" i="1"/>
  <c r="K480" i="1" s="1"/>
  <c r="M480" i="1" s="1"/>
  <c r="I481" i="1"/>
  <c r="K481" i="1" s="1"/>
  <c r="M481" i="1" s="1"/>
  <c r="I482" i="1"/>
  <c r="K482" i="1" s="1"/>
  <c r="I483" i="1"/>
  <c r="K483" i="1" s="1"/>
  <c r="I484" i="1"/>
  <c r="K484" i="1" s="1"/>
  <c r="M484" i="1" s="1"/>
  <c r="I485" i="1"/>
  <c r="K485" i="1" s="1"/>
  <c r="M485" i="1" s="1"/>
  <c r="I486" i="1"/>
  <c r="K486" i="1" s="1"/>
  <c r="I487" i="1"/>
  <c r="K487" i="1" s="1"/>
  <c r="I488" i="1"/>
  <c r="K488" i="1" s="1"/>
  <c r="M488" i="1" s="1"/>
  <c r="I489" i="1"/>
  <c r="K489" i="1" s="1"/>
  <c r="M489" i="1" s="1"/>
  <c r="I490" i="1"/>
  <c r="K490" i="1" s="1"/>
  <c r="I491" i="1"/>
  <c r="K491" i="1" s="1"/>
  <c r="M491" i="1" s="1"/>
  <c r="I492" i="1"/>
  <c r="K492" i="1" s="1"/>
  <c r="M492" i="1" s="1"/>
  <c r="I493" i="1"/>
  <c r="K493" i="1" s="1"/>
  <c r="M493" i="1" s="1"/>
  <c r="I494" i="1"/>
  <c r="K494" i="1" s="1"/>
  <c r="I495" i="1"/>
  <c r="K495" i="1" s="1"/>
  <c r="I496" i="1"/>
  <c r="K496" i="1" s="1"/>
  <c r="M496" i="1" s="1"/>
  <c r="I497" i="1"/>
  <c r="K497" i="1" s="1"/>
  <c r="M497" i="1" s="1"/>
  <c r="I498" i="1"/>
  <c r="K498" i="1" s="1"/>
  <c r="I499" i="1"/>
  <c r="K499" i="1" s="1"/>
  <c r="I500" i="1"/>
  <c r="K500" i="1" s="1"/>
  <c r="M500" i="1" s="1"/>
  <c r="I501" i="1"/>
  <c r="K501" i="1" s="1"/>
  <c r="M501" i="1" s="1"/>
  <c r="I2" i="1"/>
  <c r="K2" i="1" s="1"/>
  <c r="M2" i="1" s="1"/>
  <c r="N2" i="1" s="1"/>
  <c r="M405" i="1" l="1"/>
  <c r="M357" i="1"/>
  <c r="M237" i="1"/>
  <c r="M225" i="1"/>
  <c r="M153" i="1"/>
  <c r="M129" i="1"/>
  <c r="M77" i="1"/>
  <c r="M41" i="1"/>
  <c r="M376" i="1"/>
  <c r="M443" i="1"/>
  <c r="M338" i="1"/>
  <c r="M330" i="1"/>
  <c r="E196" i="1"/>
  <c r="E302" i="1"/>
  <c r="E256" i="1"/>
  <c r="E462" i="1"/>
  <c r="E172" i="1"/>
  <c r="E176" i="1"/>
  <c r="E311" i="1"/>
  <c r="E350" i="1"/>
  <c r="E142" i="1"/>
  <c r="E156" i="1"/>
  <c r="E276" i="1"/>
  <c r="E8" i="1"/>
  <c r="E52" i="1"/>
  <c r="E397" i="1"/>
  <c r="E24" i="1"/>
  <c r="E75" i="1"/>
  <c r="E197" i="1"/>
  <c r="E356" i="1"/>
  <c r="E361" i="1"/>
  <c r="E92" i="1"/>
  <c r="E477" i="1"/>
  <c r="E46" i="1"/>
  <c r="E269" i="1"/>
  <c r="E437" i="1"/>
  <c r="E11" i="1"/>
  <c r="E266" i="1"/>
  <c r="E330" i="1"/>
  <c r="E114" i="1"/>
  <c r="E240" i="1"/>
  <c r="E152" i="1"/>
  <c r="E125" i="1"/>
  <c r="E482" i="1"/>
  <c r="E261" i="1"/>
  <c r="E56" i="1"/>
  <c r="E275" i="1"/>
  <c r="E281" i="1"/>
  <c r="E494" i="1"/>
  <c r="E499" i="1"/>
  <c r="E315" i="1"/>
  <c r="E294" i="1"/>
  <c r="E222" i="1"/>
  <c r="E190" i="1"/>
  <c r="E321" i="1"/>
  <c r="E202" i="1"/>
  <c r="E184" i="1"/>
  <c r="E297" i="1"/>
  <c r="E171" i="1"/>
  <c r="E306" i="1"/>
  <c r="E375" i="1"/>
  <c r="E467" i="1"/>
  <c r="E28" i="1"/>
  <c r="E288" i="1"/>
  <c r="E69" i="1"/>
  <c r="E286" i="1"/>
  <c r="E432" i="1"/>
  <c r="E20" i="1"/>
  <c r="E290" i="1"/>
  <c r="E55" i="1"/>
  <c r="E117" i="1"/>
  <c r="E377" i="1"/>
  <c r="E122" i="1"/>
  <c r="E295" i="1"/>
  <c r="E308" i="1"/>
  <c r="E13" i="1"/>
  <c r="E147" i="1"/>
  <c r="E344" i="1"/>
  <c r="E112" i="1"/>
  <c r="E405" i="1"/>
  <c r="E359" i="1"/>
  <c r="E32" i="1"/>
  <c r="E326" i="1"/>
  <c r="E211" i="1"/>
  <c r="E26" i="1"/>
  <c r="E409" i="1"/>
  <c r="E90" i="1"/>
  <c r="E89" i="1"/>
  <c r="E144" i="1"/>
  <c r="E379" i="1"/>
  <c r="E50" i="1"/>
  <c r="E277" i="1"/>
  <c r="E216" i="1"/>
  <c r="E346" i="1"/>
  <c r="E168" i="1"/>
  <c r="E327" i="1"/>
  <c r="E74" i="1"/>
  <c r="E453" i="1"/>
  <c r="E91" i="1"/>
  <c r="E468" i="1"/>
  <c r="E485" i="1"/>
  <c r="E120" i="1"/>
  <c r="E298" i="1"/>
  <c r="E457" i="1"/>
  <c r="E479" i="1"/>
  <c r="E27" i="1"/>
  <c r="E480" i="1"/>
  <c r="E164" i="1"/>
  <c r="E424" i="1"/>
  <c r="E438" i="1"/>
  <c r="E70" i="1"/>
  <c r="E470" i="1"/>
  <c r="E16" i="1"/>
  <c r="E151" i="1"/>
  <c r="E401" i="1"/>
  <c r="E272" i="1"/>
  <c r="E349" i="1"/>
  <c r="E493" i="1"/>
  <c r="E59" i="1"/>
  <c r="E420" i="1"/>
  <c r="E329" i="1"/>
  <c r="E415" i="1"/>
  <c r="E228" i="1"/>
  <c r="E357" i="1"/>
  <c r="E17" i="1"/>
  <c r="E385" i="1"/>
  <c r="E331" i="1"/>
  <c r="E64" i="1"/>
  <c r="E407" i="1"/>
  <c r="E29" i="1"/>
  <c r="E400" i="1"/>
  <c r="E362" i="1"/>
  <c r="E360" i="1"/>
  <c r="E82" i="1"/>
  <c r="E500" i="1"/>
  <c r="E34" i="1"/>
  <c r="E496" i="1"/>
  <c r="E136" i="1"/>
  <c r="E305" i="1"/>
  <c r="E183" i="1"/>
  <c r="E201" i="1"/>
  <c r="E96" i="1"/>
  <c r="E396" i="1"/>
  <c r="E390" i="1"/>
  <c r="E232" i="1"/>
  <c r="E312" i="1"/>
  <c r="E21" i="1"/>
  <c r="E284" i="1"/>
  <c r="E191" i="1"/>
  <c r="E353" i="1"/>
  <c r="E123" i="1"/>
  <c r="E334" i="1"/>
  <c r="E81" i="1"/>
  <c r="E175" i="1"/>
  <c r="E263" i="1"/>
  <c r="E245" i="1"/>
  <c r="E268" i="1"/>
  <c r="E421" i="1"/>
  <c r="E429" i="1"/>
  <c r="E255" i="1"/>
  <c r="E224" i="1"/>
  <c r="E194" i="1"/>
  <c r="E404" i="1"/>
  <c r="E108" i="1"/>
  <c r="E451" i="1"/>
  <c r="E116" i="1"/>
  <c r="E205" i="1"/>
  <c r="E367" i="1"/>
  <c r="E150" i="1"/>
  <c r="E372" i="1"/>
  <c r="E97" i="1"/>
  <c r="E214" i="1"/>
  <c r="E293" i="1"/>
  <c r="E167" i="1"/>
  <c r="E488" i="1"/>
  <c r="E317" i="1"/>
  <c r="E300" i="1"/>
  <c r="E35" i="1"/>
  <c r="E57" i="1"/>
  <c r="E37" i="1"/>
  <c r="E391" i="1"/>
  <c r="E5" i="1"/>
  <c r="E310" i="1"/>
  <c r="E179" i="1"/>
  <c r="E309" i="1"/>
  <c r="E403" i="1"/>
  <c r="E285" i="1"/>
  <c r="E207" i="1"/>
  <c r="E186" i="1"/>
  <c r="E271" i="1"/>
  <c r="E466" i="1"/>
  <c r="E100" i="1"/>
  <c r="E265" i="1"/>
  <c r="E33" i="1"/>
  <c r="E303" i="1"/>
  <c r="E45" i="1"/>
  <c r="E220" i="1"/>
  <c r="E157" i="1"/>
  <c r="E98" i="1"/>
  <c r="E463" i="1"/>
  <c r="E119" i="1"/>
  <c r="E395" i="1"/>
  <c r="E423" i="1"/>
  <c r="E393" i="1"/>
  <c r="E475" i="1"/>
  <c r="E23" i="1"/>
  <c r="E319" i="1"/>
  <c r="E491" i="1"/>
  <c r="E380" i="1"/>
  <c r="E430" i="1"/>
  <c r="E238" i="1"/>
  <c r="E61" i="1"/>
  <c r="E465" i="1"/>
  <c r="E314" i="1"/>
  <c r="E378" i="1"/>
  <c r="E237" i="1"/>
  <c r="E476" i="1"/>
  <c r="E79" i="1"/>
  <c r="E373" i="1"/>
  <c r="E325" i="1"/>
  <c r="E234" i="1"/>
  <c r="E473" i="1"/>
  <c r="E71" i="1"/>
  <c r="E40" i="1"/>
  <c r="E313" i="1"/>
  <c r="E428" i="1"/>
  <c r="E143" i="1"/>
  <c r="E242" i="1"/>
  <c r="E241" i="1"/>
  <c r="E316" i="1"/>
  <c r="E209" i="1"/>
  <c r="E262" i="1"/>
  <c r="E130" i="1"/>
  <c r="E447" i="1"/>
  <c r="E233" i="1"/>
  <c r="E226" i="1"/>
  <c r="E376" i="1"/>
  <c r="E94" i="1"/>
  <c r="E227" i="1"/>
  <c r="E471" i="1"/>
  <c r="E425" i="1"/>
  <c r="E413" i="1"/>
  <c r="E162" i="1"/>
  <c r="E301" i="1"/>
  <c r="E439" i="1"/>
  <c r="E363" i="1"/>
  <c r="E42" i="1"/>
  <c r="E487" i="1"/>
  <c r="E229" i="1"/>
  <c r="E458" i="1"/>
  <c r="E398" i="1"/>
  <c r="E291" i="1"/>
  <c r="E251" i="1"/>
  <c r="E374" i="1"/>
  <c r="E307" i="1"/>
  <c r="E95" i="1"/>
  <c r="E159" i="1"/>
  <c r="E163" i="1"/>
  <c r="E384" i="1"/>
  <c r="E441" i="1"/>
  <c r="E450" i="1"/>
  <c r="E320" i="1"/>
  <c r="E63" i="1"/>
  <c r="E118" i="1"/>
  <c r="E9" i="1"/>
  <c r="E199" i="1"/>
  <c r="E80" i="1"/>
  <c r="E394" i="1"/>
  <c r="E352" i="1"/>
  <c r="E115" i="1"/>
  <c r="E347" i="1"/>
  <c r="E215" i="1"/>
  <c r="E364" i="1"/>
  <c r="E107" i="1"/>
  <c r="E318" i="1"/>
  <c r="E333" i="1"/>
  <c r="E19" i="1"/>
  <c r="E99" i="1"/>
  <c r="E223" i="1"/>
  <c r="E448" i="1"/>
  <c r="E153" i="1"/>
  <c r="E274" i="1"/>
  <c r="E180" i="1"/>
  <c r="E252" i="1"/>
  <c r="E243" i="1"/>
  <c r="E449" i="1"/>
  <c r="E287" i="1"/>
  <c r="E66" i="1"/>
  <c r="E204" i="1"/>
  <c r="E355" i="1"/>
  <c r="E260" i="1"/>
  <c r="E254" i="1"/>
  <c r="E76" i="1"/>
  <c r="E10" i="1"/>
  <c r="E454" i="1"/>
  <c r="E208" i="1"/>
  <c r="E370" i="1"/>
  <c r="E299" i="1"/>
  <c r="E273" i="1"/>
  <c r="E416" i="1"/>
  <c r="E278" i="1"/>
  <c r="E105" i="1"/>
  <c r="E366" i="1"/>
  <c r="E382" i="1"/>
  <c r="E381" i="1"/>
  <c r="E113" i="1"/>
  <c r="E6" i="1"/>
  <c r="E246" i="1"/>
  <c r="E30" i="1"/>
  <c r="E492" i="1"/>
  <c r="E134" i="1"/>
  <c r="E417" i="1"/>
  <c r="E60" i="1"/>
  <c r="E178" i="1"/>
  <c r="E283" i="1"/>
  <c r="E218" i="1"/>
  <c r="E264" i="1"/>
  <c r="E188" i="1"/>
  <c r="E490" i="1"/>
  <c r="E217" i="1"/>
  <c r="E210" i="1"/>
  <c r="E54" i="1"/>
  <c r="E436" i="1"/>
  <c r="E474" i="1"/>
  <c r="E31" i="1"/>
  <c r="E84" i="1"/>
  <c r="E166" i="1"/>
  <c r="E459" i="1"/>
  <c r="E39" i="1"/>
  <c r="E106" i="1"/>
  <c r="E14" i="1"/>
  <c r="E138" i="1"/>
  <c r="E109" i="1"/>
  <c r="E225" i="1"/>
  <c r="E258" i="1"/>
  <c r="E250" i="1"/>
  <c r="E336" i="1"/>
  <c r="E43" i="1"/>
  <c r="E464" i="1"/>
  <c r="E25" i="1"/>
  <c r="E368" i="1"/>
  <c r="E345" i="1"/>
  <c r="E139" i="1"/>
  <c r="E77" i="1"/>
  <c r="E169" i="1"/>
  <c r="E343" i="1"/>
  <c r="E406" i="1"/>
  <c r="E62" i="1"/>
  <c r="E65" i="1"/>
  <c r="E132" i="1"/>
  <c r="E160" i="1"/>
  <c r="E358" i="1"/>
  <c r="E270" i="1"/>
  <c r="E411" i="1"/>
  <c r="E51" i="1"/>
  <c r="E296" i="1"/>
  <c r="E41" i="1"/>
  <c r="E408" i="1"/>
  <c r="E267" i="1"/>
  <c r="E7" i="1"/>
  <c r="E422" i="1"/>
  <c r="E213" i="1"/>
  <c r="E498" i="1"/>
  <c r="E419" i="1"/>
  <c r="E322" i="1"/>
  <c r="E383" i="1"/>
  <c r="E93" i="1"/>
  <c r="E85" i="1"/>
  <c r="E324" i="1"/>
  <c r="E304" i="1"/>
  <c r="E198" i="1"/>
  <c r="E337" i="1"/>
  <c r="E165" i="1"/>
  <c r="E484" i="1"/>
  <c r="E18" i="1"/>
  <c r="E58" i="1"/>
  <c r="E351" i="1"/>
  <c r="E83" i="1"/>
  <c r="E221" i="1"/>
  <c r="E124" i="1"/>
  <c r="E289" i="1"/>
  <c r="E483" i="1"/>
  <c r="E434" i="1"/>
  <c r="E161" i="1"/>
  <c r="E230" i="1"/>
  <c r="E443" i="1"/>
  <c r="E193" i="1"/>
  <c r="E73" i="1"/>
  <c r="E387" i="1"/>
  <c r="E257" i="1"/>
  <c r="E131" i="1"/>
  <c r="E292" i="1"/>
  <c r="E182" i="1"/>
  <c r="E12" i="1"/>
  <c r="E174" i="1"/>
  <c r="E104" i="1"/>
  <c r="E410" i="1"/>
  <c r="E412" i="1"/>
  <c r="E22" i="1"/>
  <c r="E38" i="1"/>
  <c r="E126" i="1"/>
  <c r="E399" i="1"/>
  <c r="E248" i="1"/>
  <c r="E495" i="1"/>
  <c r="E15" i="1"/>
  <c r="E440" i="1"/>
  <c r="E253" i="1"/>
  <c r="E173" i="1"/>
  <c r="E431" i="1"/>
  <c r="E236" i="1"/>
  <c r="E146" i="1"/>
  <c r="E140" i="1"/>
  <c r="E442" i="1"/>
  <c r="E239" i="1"/>
  <c r="E427" i="1"/>
  <c r="E219" i="1"/>
  <c r="E414" i="1"/>
  <c r="E282" i="1"/>
  <c r="E181" i="1"/>
  <c r="E44" i="1"/>
  <c r="E469" i="1"/>
  <c r="E158" i="1"/>
  <c r="E110" i="1"/>
  <c r="E244" i="1"/>
  <c r="E452" i="1"/>
  <c r="E478" i="1"/>
  <c r="E472" i="1"/>
  <c r="E137" i="1"/>
  <c r="E3" i="1"/>
  <c r="E389" i="1"/>
  <c r="E339" i="1"/>
  <c r="E187" i="1"/>
  <c r="E323" i="1"/>
  <c r="E369" i="1"/>
  <c r="E461" i="1"/>
  <c r="E135" i="1"/>
  <c r="E133" i="1"/>
  <c r="E189" i="1"/>
  <c r="E460" i="1"/>
  <c r="E392" i="1"/>
  <c r="E456" i="1"/>
  <c r="E280" i="1"/>
  <c r="E497" i="1"/>
  <c r="E72" i="1"/>
  <c r="E235" i="1"/>
  <c r="E354" i="1"/>
  <c r="E340" i="1"/>
  <c r="E149" i="1"/>
  <c r="E155" i="1"/>
  <c r="E489" i="1"/>
  <c r="E2" i="1"/>
  <c r="E128" i="1"/>
  <c r="E206" i="1"/>
  <c r="E435" i="1"/>
  <c r="E445" i="1"/>
  <c r="E102" i="1"/>
  <c r="E249" i="1"/>
  <c r="E148" i="1"/>
  <c r="E481" i="1"/>
  <c r="E154" i="1"/>
  <c r="E127" i="1"/>
  <c r="E195" i="1"/>
  <c r="E200" i="1"/>
  <c r="E47" i="1"/>
  <c r="E103" i="1"/>
  <c r="E129" i="1"/>
  <c r="E328" i="1"/>
  <c r="E203" i="1"/>
  <c r="E455" i="1"/>
  <c r="E433" i="1"/>
  <c r="E501" i="1"/>
  <c r="E87" i="1"/>
  <c r="E48" i="1"/>
  <c r="E418" i="1"/>
  <c r="E444" i="1"/>
  <c r="E67" i="1"/>
  <c r="E335" i="1"/>
  <c r="E279" i="1"/>
  <c r="E342" i="1"/>
  <c r="E212" i="1"/>
  <c r="E53" i="1"/>
  <c r="E341" i="1"/>
  <c r="E486" i="1"/>
  <c r="E36" i="1"/>
  <c r="E247" i="1"/>
  <c r="E68" i="1"/>
  <c r="E101" i="1"/>
  <c r="E365" i="1"/>
  <c r="E177" i="1"/>
  <c r="E121" i="1"/>
  <c r="E388" i="1"/>
  <c r="E332" i="1"/>
  <c r="E111" i="1"/>
  <c r="E145" i="1"/>
  <c r="E348" i="1"/>
  <c r="E386" i="1"/>
  <c r="E86" i="1"/>
  <c r="E338" i="1"/>
  <c r="E78" i="1"/>
  <c r="E88" i="1"/>
  <c r="E192" i="1"/>
  <c r="E259" i="1"/>
  <c r="E170" i="1"/>
  <c r="E141" i="1"/>
  <c r="E185" i="1"/>
  <c r="E231" i="1"/>
  <c r="E446" i="1"/>
  <c r="E402" i="1"/>
  <c r="E426" i="1"/>
  <c r="E49" i="1"/>
  <c r="E371" i="1"/>
  <c r="E4" i="1"/>
</calcChain>
</file>

<file path=xl/sharedStrings.xml><?xml version="1.0" encoding="utf-8"?>
<sst xmlns="http://schemas.openxmlformats.org/spreadsheetml/2006/main" count="2608" uniqueCount="90">
  <si>
    <t>Product</t>
  </si>
  <si>
    <t>Date</t>
  </si>
  <si>
    <t>Business Questions:</t>
  </si>
  <si>
    <t>Price</t>
  </si>
  <si>
    <t>Cost</t>
  </si>
  <si>
    <t>Monk Straps</t>
  </si>
  <si>
    <t>Loafers</t>
  </si>
  <si>
    <t>Derby</t>
  </si>
  <si>
    <t>Boots</t>
  </si>
  <si>
    <t>Canvas</t>
  </si>
  <si>
    <t>Oxford</t>
  </si>
  <si>
    <t>1. How is the business performing overall?</t>
  </si>
  <si>
    <t>Brogues</t>
  </si>
  <si>
    <t>2. How have revenue and profit changed over time?</t>
  </si>
  <si>
    <t>3. Which products are driving sales?</t>
  </si>
  <si>
    <t>Slippers</t>
  </si>
  <si>
    <t>4. Which products are driving profitability?</t>
  </si>
  <si>
    <t>5. Which categories and brands perform best?</t>
  </si>
  <si>
    <t>6. Which countries contribute the most to the business?</t>
  </si>
  <si>
    <t>7. What purchasing patterns can we identify from payment method and product preferences?</t>
  </si>
  <si>
    <t>Category</t>
  </si>
  <si>
    <t>8. What actions should management take based on the findings?</t>
  </si>
  <si>
    <t>Color</t>
  </si>
  <si>
    <t>Brand</t>
  </si>
  <si>
    <t>Country</t>
  </si>
  <si>
    <t>Quantity</t>
  </si>
  <si>
    <t>Payment Type</t>
  </si>
  <si>
    <t>Formal</t>
  </si>
  <si>
    <t>Red</t>
  </si>
  <si>
    <t>Uganda</t>
  </si>
  <si>
    <t>Bank Transfer</t>
  </si>
  <si>
    <t>Black</t>
  </si>
  <si>
    <t>Card</t>
  </si>
  <si>
    <t>Green</t>
  </si>
  <si>
    <t>Nigeria</t>
  </si>
  <si>
    <t>Canada</t>
  </si>
  <si>
    <t>UK</t>
  </si>
  <si>
    <t>Utility</t>
  </si>
  <si>
    <t>Blue</t>
  </si>
  <si>
    <t>Ghana</t>
  </si>
  <si>
    <t>USA</t>
  </si>
  <si>
    <t>Cash</t>
  </si>
  <si>
    <t>Brown</t>
  </si>
  <si>
    <t>Australia</t>
  </si>
  <si>
    <t>Cyprus</t>
  </si>
  <si>
    <t>Mobile Money</t>
  </si>
  <si>
    <t>India</t>
  </si>
  <si>
    <t>Germany</t>
  </si>
  <si>
    <t>Casual</t>
  </si>
  <si>
    <t>Philippines</t>
  </si>
  <si>
    <t>Zimbabwe</t>
  </si>
  <si>
    <t>Albania</t>
  </si>
  <si>
    <t>Open</t>
  </si>
  <si>
    <t>Kenya</t>
  </si>
  <si>
    <t>Unit_price</t>
  </si>
  <si>
    <t>Unit_cost</t>
  </si>
  <si>
    <t>Revenue</t>
  </si>
  <si>
    <t>Total_cost</t>
  </si>
  <si>
    <t>Profit</t>
  </si>
  <si>
    <t>Profit-margin</t>
  </si>
  <si>
    <t>Sum of Revenue</t>
  </si>
  <si>
    <t>Grand Total</t>
  </si>
  <si>
    <t>Products</t>
  </si>
  <si>
    <t>Revenue by Products</t>
  </si>
  <si>
    <t>Jan</t>
  </si>
  <si>
    <t>Feb</t>
  </si>
  <si>
    <t>Mar</t>
  </si>
  <si>
    <t>Apr</t>
  </si>
  <si>
    <t>May</t>
  </si>
  <si>
    <t>Jun</t>
  </si>
  <si>
    <t>Jul</t>
  </si>
  <si>
    <t>Aug</t>
  </si>
  <si>
    <t>Months</t>
  </si>
  <si>
    <t>Quantity Sold</t>
  </si>
  <si>
    <t xml:space="preserve"> Profit</t>
  </si>
  <si>
    <t xml:space="preserve"> Total_cost</t>
  </si>
  <si>
    <t xml:space="preserve"> Revenue</t>
  </si>
  <si>
    <t xml:space="preserve"> Profit Margin</t>
  </si>
  <si>
    <t>Monthly Revenue</t>
  </si>
  <si>
    <t>Revenue by Category</t>
  </si>
  <si>
    <t>Clarks</t>
  </si>
  <si>
    <t>Nike</t>
  </si>
  <si>
    <t>Steve Madden</t>
  </si>
  <si>
    <t>Timberland</t>
  </si>
  <si>
    <t>Zara</t>
  </si>
  <si>
    <t>Revenue by Brand</t>
  </si>
  <si>
    <t>Revenue &amp; Profit by Country</t>
  </si>
  <si>
    <t>Count of Payment Type</t>
  </si>
  <si>
    <t>Payment type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</si>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</sst>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
    <numFmt numFmtId="165" formatCode="yyyy\-mm\-dd;@"/>
    <numFmt numFmtId="166" formatCode="_-* #,##0_-;\-* #,##0_-;_-* &quot;-&quot;??_-;_-@_-"/>
    <numFmt numFmtId="167" formatCode="[$$-409]#,##0_ ;\-[$$-409]#,##0\ "/>
    <numFmt numFmtId="168" formatCode="[$$-540A]#,##0_ ;\-[$$-540A]#,##0\ "/>
    <numFmt numFmtId="169" formatCode="[$$-409]#,##0"/>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b/>
      <sz val="11"/>
      <color rgb="FFFFFFFF"/>
      <name val="Calibri"/>
    </font>
    <font>
      <sz val="11"/>
      <color theme="1"/>
      <name val="Calibri"/>
    </font>
    <font>
      <sz val="11"/>
      <color theme="1"/>
      <name val="Calibri"/>
      <family val="2"/>
    </font>
    <font>
      <b/>
      <sz val="11"/>
      <color rgb="FFFFFFFF"/>
      <name val="Calibri"/>
      <family val="2"/>
    </font>
    <font>
      <sz val="8"/>
      <name val="Calibri"/>
      <family val="2"/>
      <scheme val="minor"/>
    </font>
    <font>
      <sz val="11"/>
      <color rgb="FFFFFFFF"/>
      <name val="Calibri"/>
      <family val="2"/>
    </font>
    <font>
      <sz val="11"/>
      <color theme="5"/>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rgb="FFDBE5F1"/>
        <bgColor rgb="FFDBE5F1"/>
      </patternFill>
    </fill>
    <fill>
      <patternFill patternType="solid">
        <fgColor theme="5"/>
        <bgColor indexed="64"/>
      </patternFill>
    </fill>
    <fill>
      <patternFill patternType="solid">
        <fgColor theme="5" tint="0.39997558519241921"/>
        <bgColor indexed="64"/>
      </patternFill>
    </fill>
    <fill>
      <patternFill patternType="solid">
        <fgColor theme="0"/>
        <bgColor indexed="64"/>
      </patternFill>
    </fill>
    <fill>
      <patternFill patternType="solid">
        <fgColor theme="2" tint="-0.14999847407452621"/>
        <bgColor indexed="64"/>
      </patternFill>
    </fill>
  </fills>
  <borders count="3">
    <border>
      <left/>
      <right/>
      <top/>
      <bottom/>
      <diagonal/>
    </border>
    <border>
      <left/>
      <right/>
      <top style="thin">
        <color rgb="FF95B3D7"/>
      </top>
      <bottom/>
      <diagonal/>
    </border>
    <border>
      <left/>
      <right/>
      <top style="thin">
        <color rgb="FF95B3D7"/>
      </top>
      <bottom/>
      <diagonal/>
    </border>
  </borders>
  <cellStyleXfs count="1">
    <xf numFmtId="0" fontId="0" fillId="0" borderId="0"/>
  </cellStyleXfs>
  <cellXfs count="35">
    <xf numFmtId="0" fontId="0" fillId="0" borderId="0" xfId="0"/>
    <xf numFmtId="0" fontId="3" fillId="0" borderId="0" xfId="0" applyFont="1"/>
    <xf numFmtId="164" fontId="5" fillId="0" borderId="0" xfId="0" applyNumberFormat="1" applyFont="1"/>
    <xf numFmtId="1" fontId="5" fillId="3" borderId="1" xfId="0" applyNumberFormat="1" applyFont="1" applyFill="1" applyBorder="1"/>
    <xf numFmtId="1" fontId="5" fillId="0" borderId="2" xfId="0" applyNumberFormat="1" applyFont="1" applyBorder="1"/>
    <xf numFmtId="1" fontId="6" fillId="0" borderId="0" xfId="0" applyNumberFormat="1" applyFont="1"/>
    <xf numFmtId="165" fontId="9" fillId="2" borderId="0" xfId="0" applyNumberFormat="1" applyFont="1" applyFill="1" applyAlignment="1">
      <alignment horizontal="center" vertical="center"/>
    </xf>
    <xf numFmtId="165" fontId="5" fillId="3" borderId="2" xfId="0" applyNumberFormat="1" applyFont="1" applyFill="1" applyBorder="1"/>
    <xf numFmtId="165" fontId="5" fillId="0" borderId="2" xfId="0" applyNumberFormat="1" applyFont="1" applyBorder="1"/>
    <xf numFmtId="165" fontId="0" fillId="0" borderId="0" xfId="0" applyNumberFormat="1"/>
    <xf numFmtId="9" fontId="7" fillId="2" borderId="0" xfId="0" applyNumberFormat="1" applyFont="1" applyFill="1" applyAlignment="1">
      <alignment horizontal="center" vertical="center"/>
    </xf>
    <xf numFmtId="9" fontId="6" fillId="0" borderId="0" xfId="0" applyNumberFormat="1" applyFont="1"/>
    <xf numFmtId="9" fontId="0" fillId="0" borderId="0" xfId="0" applyNumberFormat="1"/>
    <xf numFmtId="49" fontId="4" fillId="2" borderId="0" xfId="0" applyNumberFormat="1" applyFont="1" applyFill="1" applyAlignment="1">
      <alignment horizontal="center" vertical="center"/>
    </xf>
    <xf numFmtId="49" fontId="5" fillId="3" borderId="2" xfId="0" applyNumberFormat="1" applyFont="1" applyFill="1" applyBorder="1"/>
    <xf numFmtId="49" fontId="5" fillId="3" borderId="1" xfId="0" applyNumberFormat="1" applyFont="1" applyFill="1" applyBorder="1"/>
    <xf numFmtId="49" fontId="5" fillId="0" borderId="2" xfId="0" applyNumberFormat="1" applyFont="1" applyBorder="1"/>
    <xf numFmtId="49" fontId="0" fillId="0" borderId="0" xfId="0" applyNumberFormat="1"/>
    <xf numFmtId="1" fontId="4" fillId="2" borderId="0" xfId="0" applyNumberFormat="1" applyFont="1" applyFill="1" applyAlignment="1">
      <alignment horizontal="center" vertical="center"/>
    </xf>
    <xf numFmtId="1" fontId="0" fillId="0" borderId="0" xfId="0" applyNumberFormat="1"/>
    <xf numFmtId="1" fontId="7" fillId="2" borderId="0" xfId="0" applyNumberFormat="1" applyFont="1" applyFill="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0" fontId="2" fillId="0" borderId="0" xfId="0" applyFont="1"/>
    <xf numFmtId="0" fontId="10" fillId="4" borderId="0" xfId="0" applyFont="1" applyFill="1"/>
    <xf numFmtId="167" fontId="0" fillId="0" borderId="0" xfId="0" applyNumberFormat="1"/>
    <xf numFmtId="0" fontId="0" fillId="4" borderId="0" xfId="0" applyFill="1"/>
    <xf numFmtId="168" fontId="0" fillId="0" borderId="0" xfId="0" applyNumberFormat="1"/>
    <xf numFmtId="0" fontId="2" fillId="5" borderId="0" xfId="0" applyFont="1" applyFill="1"/>
    <xf numFmtId="0" fontId="0" fillId="5" borderId="0" xfId="0" applyFill="1"/>
    <xf numFmtId="0" fontId="1" fillId="5" borderId="0" xfId="0" applyFont="1" applyFill="1"/>
    <xf numFmtId="169" fontId="0" fillId="0" borderId="0" xfId="0" applyNumberFormat="1"/>
    <xf numFmtId="0" fontId="0" fillId="6" borderId="0" xfId="0" applyFill="1"/>
    <xf numFmtId="0" fontId="0" fillId="7" borderId="0" xfId="0" applyFill="1"/>
  </cellXfs>
  <cellStyles count="1">
    <cellStyle name="Normal" xfId="0" builtinId="0"/>
  </cellStyles>
  <dxfs count="28">
    <dxf>
      <font>
        <b val="0"/>
        <i val="0"/>
        <strike val="0"/>
        <condense val="0"/>
        <extend val="0"/>
        <outline val="0"/>
        <shadow val="0"/>
        <u val="none"/>
        <vertAlign val="baseline"/>
        <sz val="11"/>
        <color theme="1"/>
        <name val="Calibri"/>
        <scheme val="none"/>
      </font>
      <numFmt numFmtId="13"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30" formatCode="@"/>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30" formatCode="@"/>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30" formatCode="@"/>
      <fill>
        <patternFill patternType="solid">
          <fgColor rgb="FFDBE5F1"/>
          <bgColor rgb="FFDBE5F1"/>
        </patternFill>
      </fill>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30" formatCode="@"/>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30" formatCode="@"/>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30" formatCode="@"/>
      <fill>
        <patternFill patternType="solid">
          <fgColor rgb="FFDBE5F1"/>
          <bgColor rgb="FFDBE5F1"/>
        </patternFill>
      </fill>
      <border diagonalUp="0" diagonalDown="0" outline="0">
        <left/>
        <right/>
        <top style="thin">
          <color rgb="FF95B3D7"/>
        </top>
        <bottom/>
      </border>
    </dxf>
    <dxf>
      <font>
        <b val="0"/>
        <i val="0"/>
        <strike val="0"/>
        <condense val="0"/>
        <extend val="0"/>
        <outline val="0"/>
        <shadow val="0"/>
        <u val="none"/>
        <vertAlign val="baseline"/>
        <sz val="11"/>
        <color theme="1"/>
        <name val="Calibri"/>
        <scheme val="none"/>
      </font>
      <numFmt numFmtId="165" formatCode="yyyy\-mm\-dd;@"/>
      <border diagonalUp="0" diagonalDown="0" outline="0">
        <left/>
        <right/>
        <top style="thin">
          <color rgb="FF95B3D7"/>
        </top>
        <bottom/>
      </border>
    </dxf>
    <dxf>
      <border outline="0">
        <left style="thin">
          <color rgb="FF95B3D7"/>
        </left>
        <top style="thin">
          <color rgb="FF95B3D7"/>
        </top>
        <bottom style="thin">
          <color rgb="FF95B3D7"/>
        </bottom>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center" textRotation="0" wrapText="0" indent="0" justifyLastLine="0" shrinkToFit="0" readingOrder="0"/>
    </dxf>
    <dxf>
      <numFmt numFmtId="167" formatCode="[$$-409]#,##0_ ;\-[$$-409]#,##0\ "/>
    </dxf>
    <dxf>
      <numFmt numFmtId="166" formatCode="_-* #,##0_-;\-* #,##0_-;_-* &quot;-&quot;??_-;_-@_-"/>
    </dxf>
    <dxf>
      <numFmt numFmtId="168" formatCode="[$$-540A]#,##0_ ;\-[$$-540A]#,##0\ "/>
    </dxf>
    <dxf>
      <numFmt numFmtId="166" formatCode="_-* #,##0_-;\-* #,##0_-;_-* &quot;-&quot;??_-;_-@_-"/>
    </dxf>
    <dxf>
      <numFmt numFmtId="166" formatCode="_-* #,##0_-;\-* #,##0_-;_-* &quot;-&quot;??_-;_-@_-"/>
    </dxf>
    <dxf>
      <numFmt numFmtId="166" formatCode="_-* #,##0_-;\-* #,##0_-;_-* &quot;-&quot;??_-;_-@_-"/>
    </dxf>
    <dxf>
      <numFmt numFmtId="166" formatCode="_-* #,##0_-;\-* #,##0_-;_-* &quot;-&quot;??_-;_-@_-"/>
    </dxf>
    <dxf>
      <numFmt numFmtId="167" formatCode="[$$-409]#,##0_ ;\-[$$-409]#,##0\ "/>
    </dxf>
    <dxf>
      <numFmt numFmtId="167" formatCode="[$$-409]#,##0_ ;\-[$$-409]#,##0\ "/>
    </dxf>
    <dxf>
      <numFmt numFmtId="169" formatCode="[$$-409]#,##0"/>
    </dxf>
    <dxf>
      <numFmt numFmtId="167" formatCode="[$$-409]#,##0_ ;\-[$$-409]#,##0\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by Revenue &amp;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ln w="28575" cap="rnd">
            <a:solidFill>
              <a:schemeClr val="accent1"/>
            </a:solidFill>
            <a:round/>
          </a:ln>
          <a:effectLst/>
        </c:spPr>
        <c:marker>
          <c:symbol val="none"/>
        </c:marker>
      </c:pivotFmt>
    </c:pivotFmts>
    <c:plotArea>
      <c:layout/>
      <c:barChart>
        <c:barDir val="col"/>
        <c:grouping val="clustered"/>
        <c:varyColors val="0"/>
        <c:ser>
          <c:idx val="1"/>
          <c:order val="1"/>
          <c:tx>
            <c:strRef>
              <c:f>PivotTables!$K$3</c:f>
              <c:strCache>
                <c:ptCount val="1"/>
                <c:pt idx="0">
                  <c:v>Sum of Revenue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PivotTables!$I$4:$I$12</c:f>
              <c:strCache>
                <c:ptCount val="8"/>
                <c:pt idx="0">
                  <c:v>Boots</c:v>
                </c:pt>
                <c:pt idx="1">
                  <c:v>Brogues</c:v>
                </c:pt>
                <c:pt idx="2">
                  <c:v>Canvas</c:v>
                </c:pt>
                <c:pt idx="3">
                  <c:v>Derby</c:v>
                </c:pt>
                <c:pt idx="4">
                  <c:v>Loafers</c:v>
                </c:pt>
                <c:pt idx="5">
                  <c:v>Monk Straps</c:v>
                </c:pt>
                <c:pt idx="6">
                  <c:v>Oxford</c:v>
                </c:pt>
                <c:pt idx="7">
                  <c:v>Slippers</c:v>
                </c:pt>
              </c:strCache>
            </c:strRef>
          </c:cat>
          <c:val>
            <c:numRef>
              <c:f>PivotTables!$K$4:$K$12</c:f>
              <c:numCache>
                <c:formatCode>[$$-540A]#,##0_ ;\-[$$-540A]#,##0\ </c:formatCode>
                <c:ptCount val="8"/>
                <c:pt idx="0">
                  <c:v>41040</c:v>
                </c:pt>
                <c:pt idx="1">
                  <c:v>58576</c:v>
                </c:pt>
                <c:pt idx="2">
                  <c:v>63488</c:v>
                </c:pt>
                <c:pt idx="3">
                  <c:v>16704</c:v>
                </c:pt>
                <c:pt idx="4">
                  <c:v>24462</c:v>
                </c:pt>
                <c:pt idx="5">
                  <c:v>51175</c:v>
                </c:pt>
                <c:pt idx="6">
                  <c:v>58905</c:v>
                </c:pt>
                <c:pt idx="7">
                  <c:v>40698</c:v>
                </c:pt>
              </c:numCache>
            </c:numRef>
          </c:val>
          <c:extLst>
            <c:ext xmlns:c16="http://schemas.microsoft.com/office/drawing/2014/chart" uri="{C3380CC4-5D6E-409C-BE32-E72D297353CC}">
              <c16:uniqueId val="{00000005-4EAF-4FD2-8F8E-DD7281B14A85}"/>
            </c:ext>
          </c:extLst>
        </c:ser>
        <c:dLbls>
          <c:showLegendKey val="0"/>
          <c:showVal val="1"/>
          <c:showCatName val="0"/>
          <c:showSerName val="0"/>
          <c:showPercent val="0"/>
          <c:showBubbleSize val="0"/>
        </c:dLbls>
        <c:gapWidth val="100"/>
        <c:axId val="1060556880"/>
        <c:axId val="866392704"/>
      </c:barChart>
      <c:lineChart>
        <c:grouping val="standard"/>
        <c:varyColors val="0"/>
        <c:ser>
          <c:idx val="0"/>
          <c:order val="0"/>
          <c:tx>
            <c:strRef>
              <c:f>PivotTables!$J$3</c:f>
              <c:strCache>
                <c:ptCount val="1"/>
                <c:pt idx="0">
                  <c:v>Sum of Profit</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0-9BC1-449F-9977-206A85E2F04F}"/>
              </c:ext>
            </c:extLst>
          </c:dPt>
          <c:dLbls>
            <c:delete val="1"/>
          </c:dLbls>
          <c:cat>
            <c:strRef>
              <c:f>PivotTables!$I$4:$I$12</c:f>
              <c:strCache>
                <c:ptCount val="8"/>
                <c:pt idx="0">
                  <c:v>Boots</c:v>
                </c:pt>
                <c:pt idx="1">
                  <c:v>Brogues</c:v>
                </c:pt>
                <c:pt idx="2">
                  <c:v>Canvas</c:v>
                </c:pt>
                <c:pt idx="3">
                  <c:v>Derby</c:v>
                </c:pt>
                <c:pt idx="4">
                  <c:v>Loafers</c:v>
                </c:pt>
                <c:pt idx="5">
                  <c:v>Monk Straps</c:v>
                </c:pt>
                <c:pt idx="6">
                  <c:v>Oxford</c:v>
                </c:pt>
                <c:pt idx="7">
                  <c:v>Slippers</c:v>
                </c:pt>
              </c:strCache>
            </c:strRef>
          </c:cat>
          <c:val>
            <c:numRef>
              <c:f>PivotTables!$J$4:$J$12</c:f>
              <c:numCache>
                <c:formatCode>[$$-540A]#,##0_ ;\-[$$-540A]#,##0\ </c:formatCode>
                <c:ptCount val="8"/>
                <c:pt idx="0">
                  <c:v>19980</c:v>
                </c:pt>
                <c:pt idx="1">
                  <c:v>25104</c:v>
                </c:pt>
                <c:pt idx="2">
                  <c:v>27776</c:v>
                </c:pt>
                <c:pt idx="3">
                  <c:v>9396</c:v>
                </c:pt>
                <c:pt idx="4">
                  <c:v>11778</c:v>
                </c:pt>
                <c:pt idx="5">
                  <c:v>24150</c:v>
                </c:pt>
                <c:pt idx="6">
                  <c:v>26367</c:v>
                </c:pt>
                <c:pt idx="7">
                  <c:v>17784</c:v>
                </c:pt>
              </c:numCache>
            </c:numRef>
          </c:val>
          <c:smooth val="0"/>
          <c:extLst>
            <c:ext xmlns:c16="http://schemas.microsoft.com/office/drawing/2014/chart" uri="{C3380CC4-5D6E-409C-BE32-E72D297353CC}">
              <c16:uniqueId val="{00000000-C1E7-495A-BF84-02F6D3D35F7C}"/>
            </c:ext>
          </c:extLst>
        </c:ser>
        <c:dLbls>
          <c:showLegendKey val="0"/>
          <c:showVal val="1"/>
          <c:showCatName val="0"/>
          <c:showSerName val="0"/>
          <c:showPercent val="0"/>
          <c:showBubbleSize val="0"/>
        </c:dLbls>
        <c:marker val="1"/>
        <c:smooth val="0"/>
        <c:axId val="1060556880"/>
        <c:axId val="866392704"/>
      </c:lineChart>
      <c:catAx>
        <c:axId val="1060556880"/>
        <c:scaling>
          <c:orientation val="minMax"/>
        </c:scaling>
        <c:delete val="1"/>
        <c:axPos val="b"/>
        <c:numFmt formatCode="General" sourceLinked="1"/>
        <c:majorTickMark val="none"/>
        <c:minorTickMark val="none"/>
        <c:tickLblPos val="nextTo"/>
        <c:crossAx val="866392704"/>
        <c:crosses val="autoZero"/>
        <c:auto val="1"/>
        <c:lblAlgn val="ctr"/>
        <c:lblOffset val="100"/>
        <c:noMultiLvlLbl val="0"/>
      </c:catAx>
      <c:valAx>
        <c:axId val="866392704"/>
        <c:scaling>
          <c:orientation val="minMax"/>
        </c:scaling>
        <c:delete val="0"/>
        <c:axPos val="l"/>
        <c:numFmt formatCode="[$$-540A]#,##0_ ;\-[$$-540A]#,##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568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circle"/>
          <c:size val="8"/>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PivotTables!$U$3</c:f>
              <c:strCache>
                <c:ptCount val="1"/>
                <c:pt idx="0">
                  <c:v>Total</c:v>
                </c:pt>
              </c:strCache>
            </c:strRef>
          </c:tx>
          <c:spPr>
            <a:ln w="28575" cap="rnd">
              <a:solidFill>
                <a:srgbClr val="C00000"/>
              </a:solidFill>
              <a:round/>
            </a:ln>
            <a:effectLst/>
          </c:spPr>
          <c:marker>
            <c:symbol val="circle"/>
            <c:size val="8"/>
            <c:spPr>
              <a:solidFill>
                <a:schemeClr val="accent1"/>
              </a:solidFill>
              <a:ln w="9525">
                <a:solidFill>
                  <a:srgbClr val="C00000"/>
                </a:solidFill>
              </a:ln>
              <a:effectLst/>
            </c:spPr>
          </c:marker>
          <c:cat>
            <c:strRef>
              <c:f>PivotTables!$T$4:$T$12</c:f>
              <c:strCache>
                <c:ptCount val="8"/>
                <c:pt idx="0">
                  <c:v>Jan</c:v>
                </c:pt>
                <c:pt idx="1">
                  <c:v>Feb</c:v>
                </c:pt>
                <c:pt idx="2">
                  <c:v>Mar</c:v>
                </c:pt>
                <c:pt idx="3">
                  <c:v>Apr</c:v>
                </c:pt>
                <c:pt idx="4">
                  <c:v>May</c:v>
                </c:pt>
                <c:pt idx="5">
                  <c:v>Jun</c:v>
                </c:pt>
                <c:pt idx="6">
                  <c:v>Jul</c:v>
                </c:pt>
                <c:pt idx="7">
                  <c:v>Aug</c:v>
                </c:pt>
              </c:strCache>
            </c:strRef>
          </c:cat>
          <c:val>
            <c:numRef>
              <c:f>PivotTables!$U$4:$U$12</c:f>
              <c:numCache>
                <c:formatCode>_-* #,##0_-;\-* #,##0_-;_-* "-"??_-;_-@_-</c:formatCode>
                <c:ptCount val="8"/>
                <c:pt idx="0">
                  <c:v>43801</c:v>
                </c:pt>
                <c:pt idx="1">
                  <c:v>40664</c:v>
                </c:pt>
                <c:pt idx="2">
                  <c:v>45492</c:v>
                </c:pt>
                <c:pt idx="3">
                  <c:v>44204</c:v>
                </c:pt>
                <c:pt idx="4">
                  <c:v>44578</c:v>
                </c:pt>
                <c:pt idx="5">
                  <c:v>70771</c:v>
                </c:pt>
                <c:pt idx="6">
                  <c:v>49497</c:v>
                </c:pt>
                <c:pt idx="7">
                  <c:v>16041</c:v>
                </c:pt>
              </c:numCache>
            </c:numRef>
          </c:val>
          <c:smooth val="1"/>
          <c:extLst>
            <c:ext xmlns:c16="http://schemas.microsoft.com/office/drawing/2014/chart" uri="{C3380CC4-5D6E-409C-BE32-E72D297353CC}">
              <c16:uniqueId val="{00000000-4447-4E00-9960-3A89702BD72F}"/>
            </c:ext>
          </c:extLst>
        </c:ser>
        <c:dLbls>
          <c:showLegendKey val="0"/>
          <c:showVal val="0"/>
          <c:showCatName val="0"/>
          <c:showSerName val="0"/>
          <c:showPercent val="0"/>
          <c:showBubbleSize val="0"/>
        </c:dLbls>
        <c:marker val="1"/>
        <c:smooth val="0"/>
        <c:axId val="1080324336"/>
        <c:axId val="877827296"/>
      </c:lineChart>
      <c:catAx>
        <c:axId val="108032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827296"/>
        <c:crosses val="autoZero"/>
        <c:auto val="1"/>
        <c:lblAlgn val="ctr"/>
        <c:lblOffset val="100"/>
        <c:noMultiLvlLbl val="0"/>
      </c:catAx>
      <c:valAx>
        <c:axId val="877827296"/>
        <c:scaling>
          <c:orientation val="minMax"/>
        </c:scaling>
        <c:delete val="0"/>
        <c:axPos val="l"/>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243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672141304836085"/>
              <c:y val="-3.000000590551300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11475519026988"/>
              <c:y val="-3.750000738189121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754105978627072"/>
              <c:y val="2.3463683022270174E-2"/>
            </c:manualLayout>
          </c:layout>
          <c:spPr>
            <a:xfrm>
              <a:off x="347658" y="636267"/>
              <a:ext cx="276421" cy="382544"/>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6120"/>
                    <a:gd name="adj2" fmla="val 2915"/>
                  </a:avLst>
                </a:prstGeom>
                <a:noFill/>
                <a:ln>
                  <a:noFill/>
                </a:ln>
              </c15:spPr>
              <c15:layout>
                <c:manualLayout>
                  <c:w val="0.10704316873275783"/>
                  <c:h val="0.2019323095179150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672141304836085"/>
              <c:y val="-3.000000590551300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437551794269678"/>
          <c:y val="0.27441793438297907"/>
          <c:w val="0.37223254020009822"/>
          <c:h val="0.50740042978921751"/>
        </c:manualLayout>
      </c:layout>
      <c:doughnutChart>
        <c:varyColors val="1"/>
        <c:ser>
          <c:idx val="0"/>
          <c:order val="0"/>
          <c:tx>
            <c:strRef>
              <c:f>PivotTables!$AE$2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8EF6-4418-A129-10F1F6713E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EF6-4418-A129-10F1F6713E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4-8EF6-4418-A129-10F1F6713E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8EF6-4418-A129-10F1F6713EDC}"/>
              </c:ext>
            </c:extLst>
          </c:dPt>
          <c:dLbls>
            <c:dLbl>
              <c:idx val="0"/>
              <c:layout>
                <c:manualLayout>
                  <c:x val="0.19672141304836085"/>
                  <c:y val="-3.00000059055130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EF6-4418-A129-10F1F6713EDC}"/>
                </c:ext>
              </c:extLst>
            </c:dLbl>
            <c:dLbl>
              <c:idx val="1"/>
              <c:layout>
                <c:manualLayout>
                  <c:x val="0.211475519026988"/>
                  <c:y val="-3.75000073818912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EF6-4418-A129-10F1F6713EDC}"/>
                </c:ext>
              </c:extLst>
            </c:dLbl>
            <c:dLbl>
              <c:idx val="2"/>
              <c:layout>
                <c:manualLayout>
                  <c:x val="-0.14754105978627072"/>
                  <c:y val="2.3463683022270174E-2"/>
                </c:manualLayout>
              </c:layout>
              <c:spPr>
                <a:xfrm>
                  <a:off x="347658" y="636267"/>
                  <a:ext cx="276421" cy="382544"/>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6120"/>
                        <a:gd name="adj2" fmla="val 2915"/>
                      </a:avLst>
                    </a:prstGeom>
                    <a:noFill/>
                    <a:ln>
                      <a:noFill/>
                    </a:ln>
                  </c15:spPr>
                  <c15:layout>
                    <c:manualLayout>
                      <c:w val="0.10704316873275783"/>
                      <c:h val="0.20193230951791502"/>
                    </c:manualLayout>
                  </c15:layout>
                </c:ext>
                <c:ext xmlns:c16="http://schemas.microsoft.com/office/drawing/2014/chart" uri="{C3380CC4-5D6E-409C-BE32-E72D297353CC}">
                  <c16:uniqueId val="{00000004-8EF6-4418-A129-10F1F6713EDC}"/>
                </c:ext>
              </c:extLst>
            </c:dLbl>
            <c:dLbl>
              <c:idx val="3"/>
              <c:layout>
                <c:manualLayout>
                  <c:x val="0.19672141304836085"/>
                  <c:y val="-3.00000059055130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EF6-4418-A129-10F1F6713EDC}"/>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PivotTables!$AD$3:$AD$7</c:f>
              <c:strCache>
                <c:ptCount val="4"/>
                <c:pt idx="0">
                  <c:v>Casual</c:v>
                </c:pt>
                <c:pt idx="1">
                  <c:v>Formal</c:v>
                </c:pt>
                <c:pt idx="2">
                  <c:v>Open</c:v>
                </c:pt>
                <c:pt idx="3">
                  <c:v>Utility</c:v>
                </c:pt>
              </c:strCache>
            </c:strRef>
          </c:cat>
          <c:val>
            <c:numRef>
              <c:f>PivotTables!$AE$3:$AE$7</c:f>
              <c:numCache>
                <c:formatCode>[$$-409]#,##0_ ;\-[$$-409]#,##0\ </c:formatCode>
                <c:ptCount val="4"/>
                <c:pt idx="0">
                  <c:v>82917</c:v>
                </c:pt>
                <c:pt idx="1">
                  <c:v>179935</c:v>
                </c:pt>
                <c:pt idx="2">
                  <c:v>53035</c:v>
                </c:pt>
                <c:pt idx="3">
                  <c:v>39161</c:v>
                </c:pt>
              </c:numCache>
            </c:numRef>
          </c:val>
          <c:extLst>
            <c:ext xmlns:c16="http://schemas.microsoft.com/office/drawing/2014/chart" uri="{C3380CC4-5D6E-409C-BE32-E72D297353CC}">
              <c16:uniqueId val="{00000000-8EF6-4418-A129-10F1F6713EDC}"/>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Revenue by Brand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PivotTables!$AN$3</c:f>
              <c:strCache>
                <c:ptCount val="1"/>
                <c:pt idx="0">
                  <c:v>Total</c:v>
                </c:pt>
              </c:strCache>
            </c:strRef>
          </c:tx>
          <c:spPr>
            <a:solidFill>
              <a:srgbClr val="C00000"/>
            </a:solidFill>
            <a:ln w="19050">
              <a:solidFill>
                <a:schemeClr val="lt1"/>
              </a:solidFill>
            </a:ln>
            <a:effectLst/>
          </c:spPr>
          <c:invertIfNegative val="0"/>
          <c:cat>
            <c:strRef>
              <c:f>PivotTables!$AM$4:$AM$9</c:f>
              <c:strCache>
                <c:ptCount val="5"/>
                <c:pt idx="0">
                  <c:v>Clarks</c:v>
                </c:pt>
                <c:pt idx="1">
                  <c:v>Nike</c:v>
                </c:pt>
                <c:pt idx="2">
                  <c:v>Steve Madden</c:v>
                </c:pt>
                <c:pt idx="3">
                  <c:v>Timberland</c:v>
                </c:pt>
                <c:pt idx="4">
                  <c:v>Zara</c:v>
                </c:pt>
              </c:strCache>
            </c:strRef>
          </c:cat>
          <c:val>
            <c:numRef>
              <c:f>PivotTables!$AN$4:$AN$9</c:f>
              <c:numCache>
                <c:formatCode>[$$-409]#,##0_ ;\-[$$-409]#,##0\ </c:formatCode>
                <c:ptCount val="5"/>
                <c:pt idx="0">
                  <c:v>123543</c:v>
                </c:pt>
                <c:pt idx="1">
                  <c:v>54029</c:v>
                </c:pt>
                <c:pt idx="2">
                  <c:v>43855</c:v>
                </c:pt>
                <c:pt idx="3">
                  <c:v>38824</c:v>
                </c:pt>
                <c:pt idx="4">
                  <c:v>94797</c:v>
                </c:pt>
              </c:numCache>
            </c:numRef>
          </c:val>
          <c:extLst>
            <c:ext xmlns:c16="http://schemas.microsoft.com/office/drawing/2014/chart" uri="{C3380CC4-5D6E-409C-BE32-E72D297353CC}">
              <c16:uniqueId val="{00000000-8E3B-4E9D-8D01-FE8E3CE314BE}"/>
            </c:ext>
          </c:extLst>
        </c:ser>
        <c:dLbls>
          <c:showLegendKey val="0"/>
          <c:showVal val="0"/>
          <c:showCatName val="0"/>
          <c:showSerName val="0"/>
          <c:showPercent val="0"/>
          <c:showBubbleSize val="0"/>
        </c:dLbls>
        <c:gapWidth val="150"/>
        <c:axId val="1552553199"/>
        <c:axId val="1465836319"/>
      </c:barChart>
      <c:valAx>
        <c:axId val="1465836319"/>
        <c:scaling>
          <c:orientation val="minMax"/>
        </c:scaling>
        <c:delete val="0"/>
        <c:axPos val="b"/>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53199"/>
        <c:crosses val="autoZero"/>
        <c:crossBetween val="between"/>
      </c:valAx>
      <c:catAx>
        <c:axId val="1552553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36319"/>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&amp; 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pivotFmt>
    </c:pivotFmts>
    <c:plotArea>
      <c:layout/>
      <c:barChart>
        <c:barDir val="col"/>
        <c:grouping val="clustered"/>
        <c:varyColors val="0"/>
        <c:ser>
          <c:idx val="0"/>
          <c:order val="0"/>
          <c:tx>
            <c:strRef>
              <c:f>PivotTables!$AX$4</c:f>
              <c:strCache>
                <c:ptCount val="1"/>
                <c:pt idx="0">
                  <c:v> Revenue</c:v>
                </c:pt>
              </c:strCache>
            </c:strRef>
          </c:tx>
          <c:spPr>
            <a:solidFill>
              <a:srgbClr val="C00000"/>
            </a:solidFill>
            <a:ln>
              <a:noFill/>
            </a:ln>
            <a:effectLst/>
          </c:spPr>
          <c:invertIfNegative val="0"/>
          <c:cat>
            <c:strRef>
              <c:f>PivotTables!$AW$5:$AW$19</c:f>
              <c:strCache>
                <c:ptCount val="14"/>
                <c:pt idx="0">
                  <c:v>USA</c:v>
                </c:pt>
                <c:pt idx="1">
                  <c:v>UK</c:v>
                </c:pt>
                <c:pt idx="2">
                  <c:v>Ghana</c:v>
                </c:pt>
                <c:pt idx="3">
                  <c:v>Zimbabwe</c:v>
                </c:pt>
                <c:pt idx="4">
                  <c:v>India</c:v>
                </c:pt>
                <c:pt idx="5">
                  <c:v>Cyprus</c:v>
                </c:pt>
                <c:pt idx="6">
                  <c:v>Kenya</c:v>
                </c:pt>
                <c:pt idx="7">
                  <c:v>Uganda</c:v>
                </c:pt>
                <c:pt idx="8">
                  <c:v>Nigeria</c:v>
                </c:pt>
                <c:pt idx="9">
                  <c:v>Philippines</c:v>
                </c:pt>
                <c:pt idx="10">
                  <c:v>Germany</c:v>
                </c:pt>
                <c:pt idx="11">
                  <c:v>Australia</c:v>
                </c:pt>
                <c:pt idx="12">
                  <c:v>Canada</c:v>
                </c:pt>
                <c:pt idx="13">
                  <c:v>Albania</c:v>
                </c:pt>
              </c:strCache>
            </c:strRef>
          </c:cat>
          <c:val>
            <c:numRef>
              <c:f>PivotTables!$AX$5:$AX$19</c:f>
              <c:numCache>
                <c:formatCode>[$$-409]#,##0_ ;\-[$$-409]#,##0\ </c:formatCode>
                <c:ptCount val="14"/>
                <c:pt idx="0">
                  <c:v>39127</c:v>
                </c:pt>
                <c:pt idx="1">
                  <c:v>32871</c:v>
                </c:pt>
                <c:pt idx="2">
                  <c:v>32026</c:v>
                </c:pt>
                <c:pt idx="3">
                  <c:v>30124</c:v>
                </c:pt>
                <c:pt idx="4">
                  <c:v>29392</c:v>
                </c:pt>
                <c:pt idx="5">
                  <c:v>26531</c:v>
                </c:pt>
                <c:pt idx="6">
                  <c:v>26595</c:v>
                </c:pt>
                <c:pt idx="7">
                  <c:v>25851</c:v>
                </c:pt>
                <c:pt idx="8">
                  <c:v>20798</c:v>
                </c:pt>
                <c:pt idx="9">
                  <c:v>20810</c:v>
                </c:pt>
                <c:pt idx="10">
                  <c:v>20204</c:v>
                </c:pt>
                <c:pt idx="11">
                  <c:v>18562</c:v>
                </c:pt>
                <c:pt idx="12">
                  <c:v>17565</c:v>
                </c:pt>
                <c:pt idx="13">
                  <c:v>14592</c:v>
                </c:pt>
              </c:numCache>
            </c:numRef>
          </c:val>
          <c:extLst>
            <c:ext xmlns:c16="http://schemas.microsoft.com/office/drawing/2014/chart" uri="{C3380CC4-5D6E-409C-BE32-E72D297353CC}">
              <c16:uniqueId val="{00000000-7111-47A7-B930-1AAABA15027E}"/>
            </c:ext>
          </c:extLst>
        </c:ser>
        <c:ser>
          <c:idx val="1"/>
          <c:order val="1"/>
          <c:tx>
            <c:strRef>
              <c:f>PivotTables!$AY$4</c:f>
              <c:strCache>
                <c:ptCount val="1"/>
                <c:pt idx="0">
                  <c:v> Profit</c:v>
                </c:pt>
              </c:strCache>
            </c:strRef>
          </c:tx>
          <c:spPr>
            <a:solidFill>
              <a:srgbClr val="002060"/>
            </a:solidFill>
            <a:ln>
              <a:solidFill>
                <a:srgbClr val="0070C0"/>
              </a:solidFill>
            </a:ln>
            <a:effectLst/>
          </c:spPr>
          <c:invertIfNegative val="0"/>
          <c:cat>
            <c:strRef>
              <c:f>PivotTables!$AW$5:$AW$19</c:f>
              <c:strCache>
                <c:ptCount val="14"/>
                <c:pt idx="0">
                  <c:v>USA</c:v>
                </c:pt>
                <c:pt idx="1">
                  <c:v>UK</c:v>
                </c:pt>
                <c:pt idx="2">
                  <c:v>Ghana</c:v>
                </c:pt>
                <c:pt idx="3">
                  <c:v>Zimbabwe</c:v>
                </c:pt>
                <c:pt idx="4">
                  <c:v>India</c:v>
                </c:pt>
                <c:pt idx="5">
                  <c:v>Cyprus</c:v>
                </c:pt>
                <c:pt idx="6">
                  <c:v>Kenya</c:v>
                </c:pt>
                <c:pt idx="7">
                  <c:v>Uganda</c:v>
                </c:pt>
                <c:pt idx="8">
                  <c:v>Nigeria</c:v>
                </c:pt>
                <c:pt idx="9">
                  <c:v>Philippines</c:v>
                </c:pt>
                <c:pt idx="10">
                  <c:v>Germany</c:v>
                </c:pt>
                <c:pt idx="11">
                  <c:v>Australia</c:v>
                </c:pt>
                <c:pt idx="12">
                  <c:v>Canada</c:v>
                </c:pt>
                <c:pt idx="13">
                  <c:v>Albania</c:v>
                </c:pt>
              </c:strCache>
            </c:strRef>
          </c:cat>
          <c:val>
            <c:numRef>
              <c:f>PivotTables!$AY$5:$AY$19</c:f>
              <c:numCache>
                <c:formatCode>[$$-409]#,##0</c:formatCode>
                <c:ptCount val="14"/>
                <c:pt idx="0">
                  <c:v>17892</c:v>
                </c:pt>
                <c:pt idx="1">
                  <c:v>15393</c:v>
                </c:pt>
                <c:pt idx="2">
                  <c:v>14468</c:v>
                </c:pt>
                <c:pt idx="3">
                  <c:v>13584</c:v>
                </c:pt>
                <c:pt idx="4">
                  <c:v>13441</c:v>
                </c:pt>
                <c:pt idx="5">
                  <c:v>12210</c:v>
                </c:pt>
                <c:pt idx="6">
                  <c:v>11974</c:v>
                </c:pt>
                <c:pt idx="7">
                  <c:v>11798</c:v>
                </c:pt>
                <c:pt idx="8">
                  <c:v>9638</c:v>
                </c:pt>
                <c:pt idx="9">
                  <c:v>9548</c:v>
                </c:pt>
                <c:pt idx="10">
                  <c:v>9010</c:v>
                </c:pt>
                <c:pt idx="11">
                  <c:v>8476</c:v>
                </c:pt>
                <c:pt idx="12">
                  <c:v>8102</c:v>
                </c:pt>
                <c:pt idx="13">
                  <c:v>6801</c:v>
                </c:pt>
              </c:numCache>
            </c:numRef>
          </c:val>
          <c:extLst>
            <c:ext xmlns:c16="http://schemas.microsoft.com/office/drawing/2014/chart" uri="{C3380CC4-5D6E-409C-BE32-E72D297353CC}">
              <c16:uniqueId val="{00000001-7111-47A7-B930-1AAABA15027E}"/>
            </c:ext>
          </c:extLst>
        </c:ser>
        <c:dLbls>
          <c:showLegendKey val="0"/>
          <c:showVal val="0"/>
          <c:showCatName val="0"/>
          <c:showSerName val="0"/>
          <c:showPercent val="0"/>
          <c:showBubbleSize val="0"/>
        </c:dLbls>
        <c:gapWidth val="219"/>
        <c:axId val="1561116159"/>
        <c:axId val="1504516831"/>
      </c:barChart>
      <c:catAx>
        <c:axId val="15611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516831"/>
        <c:crosses val="autoZero"/>
        <c:auto val="1"/>
        <c:lblAlgn val="ctr"/>
        <c:lblOffset val="100"/>
        <c:noMultiLvlLbl val="0"/>
      </c:catAx>
      <c:valAx>
        <c:axId val="1504516831"/>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16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Distribution of Payment type </a:t>
            </a:r>
            <a:endParaRPr lang="en-US"/>
          </a:p>
        </c:rich>
      </c:tx>
      <c:layout>
        <c:manualLayout>
          <c:xMode val="edge"/>
          <c:yMode val="edge"/>
          <c:x val="0.148475601899542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noFill/>
          </a:ln>
          <a:effectLst/>
          <a:sp3d/>
        </c:spPr>
      </c:pivotFmt>
      <c:pivotFmt>
        <c:idx val="2"/>
        <c:spPr>
          <a:solidFill>
            <a:schemeClr val="accent1"/>
          </a:solidFill>
          <a:ln w="25400">
            <a:noFill/>
          </a:ln>
          <a:effectLst/>
          <a:sp3d/>
        </c:spPr>
      </c:pivotFmt>
      <c:pivotFmt>
        <c:idx val="3"/>
        <c:spPr>
          <a:solidFill>
            <a:schemeClr val="accent1"/>
          </a:solidFill>
          <a:ln w="25400">
            <a:noFill/>
          </a:ln>
          <a:effectLst/>
          <a:sp3d/>
        </c:spPr>
      </c:pivotFmt>
      <c:pivotFmt>
        <c:idx val="4"/>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PivotTables!$BK$4</c:f>
              <c:strCache>
                <c:ptCount val="1"/>
                <c:pt idx="0">
                  <c:v>Total</c:v>
                </c:pt>
              </c:strCache>
            </c:strRef>
          </c:tx>
          <c:spPr>
            <a:ln>
              <a:noFill/>
            </a:ln>
          </c:spPr>
          <c:dPt>
            <c:idx val="0"/>
            <c:bubble3D val="0"/>
            <c:spPr>
              <a:solidFill>
                <a:schemeClr val="accent1"/>
              </a:solidFill>
              <a:ln w="25400">
                <a:noFill/>
              </a:ln>
              <a:effectLst/>
              <a:sp3d/>
            </c:spPr>
            <c:extLst>
              <c:ext xmlns:c16="http://schemas.microsoft.com/office/drawing/2014/chart" uri="{C3380CC4-5D6E-409C-BE32-E72D297353CC}">
                <c16:uniqueId val="{00000001-63DF-46D6-ABE2-D024C52C181E}"/>
              </c:ext>
            </c:extLst>
          </c:dPt>
          <c:dPt>
            <c:idx val="1"/>
            <c:bubble3D val="0"/>
            <c:spPr>
              <a:solidFill>
                <a:schemeClr val="accent2"/>
              </a:solidFill>
              <a:ln w="25400">
                <a:noFill/>
              </a:ln>
              <a:effectLst/>
              <a:sp3d/>
            </c:spPr>
            <c:extLst>
              <c:ext xmlns:c16="http://schemas.microsoft.com/office/drawing/2014/chart" uri="{C3380CC4-5D6E-409C-BE32-E72D297353CC}">
                <c16:uniqueId val="{00000003-63DF-46D6-ABE2-D024C52C181E}"/>
              </c:ext>
            </c:extLst>
          </c:dPt>
          <c:dPt>
            <c:idx val="2"/>
            <c:bubble3D val="0"/>
            <c:spPr>
              <a:solidFill>
                <a:schemeClr val="accent3"/>
              </a:solidFill>
              <a:ln w="25400">
                <a:noFill/>
              </a:ln>
              <a:effectLst/>
              <a:sp3d/>
            </c:spPr>
            <c:extLst>
              <c:ext xmlns:c16="http://schemas.microsoft.com/office/drawing/2014/chart" uri="{C3380CC4-5D6E-409C-BE32-E72D297353CC}">
                <c16:uniqueId val="{00000005-63DF-46D6-ABE2-D024C52C181E}"/>
              </c:ext>
            </c:extLst>
          </c:dPt>
          <c:dPt>
            <c:idx val="3"/>
            <c:bubble3D val="0"/>
            <c:spPr>
              <a:solidFill>
                <a:schemeClr val="accent4"/>
              </a:solidFill>
              <a:ln w="25400">
                <a:noFill/>
              </a:ln>
              <a:effectLst/>
              <a:sp3d/>
            </c:spPr>
            <c:extLst>
              <c:ext xmlns:c16="http://schemas.microsoft.com/office/drawing/2014/chart" uri="{C3380CC4-5D6E-409C-BE32-E72D297353CC}">
                <c16:uniqueId val="{00000007-63DF-46D6-ABE2-D024C52C181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PivotTables!$BJ$5:$BJ$9</c:f>
              <c:strCache>
                <c:ptCount val="4"/>
                <c:pt idx="0">
                  <c:v>Bank Transfer</c:v>
                </c:pt>
                <c:pt idx="1">
                  <c:v>Card</c:v>
                </c:pt>
                <c:pt idx="2">
                  <c:v>Cash</c:v>
                </c:pt>
                <c:pt idx="3">
                  <c:v>Mobile Money</c:v>
                </c:pt>
              </c:strCache>
            </c:strRef>
          </c:cat>
          <c:val>
            <c:numRef>
              <c:f>PivotTables!$BK$5:$BK$9</c:f>
              <c:numCache>
                <c:formatCode>General</c:formatCode>
                <c:ptCount val="4"/>
                <c:pt idx="0">
                  <c:v>135</c:v>
                </c:pt>
                <c:pt idx="1">
                  <c:v>137</c:v>
                </c:pt>
                <c:pt idx="2">
                  <c:v>125</c:v>
                </c:pt>
                <c:pt idx="3">
                  <c:v>103</c:v>
                </c:pt>
              </c:numCache>
            </c:numRef>
          </c:val>
          <c:extLst>
            <c:ext xmlns:c16="http://schemas.microsoft.com/office/drawing/2014/chart" uri="{C3380CC4-5D6E-409C-BE32-E72D297353CC}">
              <c16:uniqueId val="{00000000-47C6-4AE1-95DC-4497A27F7934}"/>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[Shoe_Sales.xlsx]PivotTables!PivotTable3</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Monthly Revenue  </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circle"/>
          <c:size val="8"/>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circle"/>
          <c:size val="8"/>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8"/>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PivotTables!$U$3</c:f>
              <c:strCache>
                <c:ptCount val="1"/>
                <c:pt idx="0">
                  <c:v>Total</c:v>
                </c:pt>
              </c:strCache>
            </c:strRef>
          </c:tx>
          <c:spPr>
            <a:ln w="28575" cap="rnd">
              <a:solidFill>
                <a:srgbClr val="C00000"/>
              </a:solidFill>
              <a:round/>
            </a:ln>
            <a:effectLst/>
          </c:spPr>
          <c:marker>
            <c:symbol val="circle"/>
            <c:size val="8"/>
            <c:spPr>
              <a:solidFill>
                <a:schemeClr val="accent1"/>
              </a:solidFill>
              <a:ln w="9525">
                <a:solidFill>
                  <a:srgbClr val="C00000"/>
                </a:solidFill>
              </a:ln>
              <a:effectLst/>
            </c:spPr>
          </c:marker>
          <c:cat>
            <c:strRef>
              <c:f>PivotTables!$T$4:$T$12</c:f>
              <c:strCache>
                <c:ptCount val="8"/>
                <c:pt idx="0">
                  <c:v>Jan</c:v>
                </c:pt>
                <c:pt idx="1">
                  <c:v>Feb</c:v>
                </c:pt>
                <c:pt idx="2">
                  <c:v>Mar</c:v>
                </c:pt>
                <c:pt idx="3">
                  <c:v>Apr</c:v>
                </c:pt>
                <c:pt idx="4">
                  <c:v>May</c:v>
                </c:pt>
                <c:pt idx="5">
                  <c:v>Jun</c:v>
                </c:pt>
                <c:pt idx="6">
                  <c:v>Jul</c:v>
                </c:pt>
                <c:pt idx="7">
                  <c:v>Aug</c:v>
                </c:pt>
              </c:strCache>
            </c:strRef>
          </c:cat>
          <c:val>
            <c:numRef>
              <c:f>PivotTables!$U$4:$U$12</c:f>
              <c:numCache>
                <c:formatCode>_-* #,##0_-;\-* #,##0_-;_-* "-"??_-;_-@_-</c:formatCode>
                <c:ptCount val="8"/>
                <c:pt idx="0">
                  <c:v>43801</c:v>
                </c:pt>
                <c:pt idx="1">
                  <c:v>40664</c:v>
                </c:pt>
                <c:pt idx="2">
                  <c:v>45492</c:v>
                </c:pt>
                <c:pt idx="3">
                  <c:v>44204</c:v>
                </c:pt>
                <c:pt idx="4">
                  <c:v>44578</c:v>
                </c:pt>
                <c:pt idx="5">
                  <c:v>70771</c:v>
                </c:pt>
                <c:pt idx="6">
                  <c:v>49497</c:v>
                </c:pt>
                <c:pt idx="7">
                  <c:v>16041</c:v>
                </c:pt>
              </c:numCache>
            </c:numRef>
          </c:val>
          <c:smooth val="1"/>
          <c:extLst>
            <c:ext xmlns:c16="http://schemas.microsoft.com/office/drawing/2014/chart" uri="{C3380CC4-5D6E-409C-BE32-E72D297353CC}">
              <c16:uniqueId val="{00000000-C981-4220-BED6-B81E49D67EC2}"/>
            </c:ext>
          </c:extLst>
        </c:ser>
        <c:dLbls>
          <c:showLegendKey val="0"/>
          <c:showVal val="0"/>
          <c:showCatName val="0"/>
          <c:showSerName val="0"/>
          <c:showPercent val="0"/>
          <c:showBubbleSize val="0"/>
        </c:dLbls>
        <c:marker val="1"/>
        <c:smooth val="0"/>
        <c:axId val="1080324336"/>
        <c:axId val="877827296"/>
      </c:lineChart>
      <c:catAx>
        <c:axId val="108032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827296"/>
        <c:crosses val="autoZero"/>
        <c:auto val="1"/>
        <c:lblAlgn val="ctr"/>
        <c:lblOffset val="100"/>
        <c:noMultiLvlLbl val="0"/>
      </c:catAx>
      <c:valAx>
        <c:axId val="877827296"/>
        <c:scaling>
          <c:orientation val="minMax"/>
        </c:scaling>
        <c:delete val="0"/>
        <c:axPos val="l"/>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3243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[Shoe_Sales.xlsx]PivotTables!PivotTable5</c:name>
    <c:fmtId val="3"/>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b="1"/>
              <a:t>Revenue by Category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672141304836085"/>
              <c:y val="-3.000000590551300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11475519026988"/>
              <c:y val="-3.750000738189121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754105978627072"/>
              <c:y val="2.3463683022270174E-2"/>
            </c:manualLayout>
          </c:layout>
          <c:spPr>
            <a:xfrm>
              <a:off x="347658" y="636267"/>
              <a:ext cx="276421" cy="382544"/>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6120"/>
                    <a:gd name="adj2" fmla="val 2915"/>
                  </a:avLst>
                </a:prstGeom>
                <a:noFill/>
                <a:ln>
                  <a:noFill/>
                </a:ln>
              </c15:spPr>
              <c15:layout>
                <c:manualLayout>
                  <c:w val="0.10704316873275783"/>
                  <c:h val="0.20193230951791502"/>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8524635871762417E-2"/>
              <c:y val="-9.3854732089080697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889"/>
                    <a:gd name="adj2" fmla="val 129825"/>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672141304836085"/>
              <c:y val="-3.000000590551300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11475519026988"/>
              <c:y val="-3.750000738189121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754105978627072"/>
              <c:y val="2.3463683022270174E-2"/>
            </c:manualLayout>
          </c:layout>
          <c:spPr>
            <a:xfrm>
              <a:off x="347658" y="636267"/>
              <a:ext cx="276421" cy="382544"/>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6120"/>
                    <a:gd name="adj2" fmla="val 2915"/>
                  </a:avLst>
                </a:prstGeom>
                <a:noFill/>
                <a:ln>
                  <a:noFill/>
                </a:ln>
              </c15:spPr>
              <c15:layout>
                <c:manualLayout>
                  <c:w val="0.10704316873275783"/>
                  <c:h val="0.20193230951791502"/>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8524635871762417E-2"/>
              <c:y val="-9.3854732089080697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889"/>
                    <a:gd name="adj2" fmla="val 129825"/>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672141304836085"/>
              <c:y val="-3.000000590551300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11475519026988"/>
              <c:y val="-3.7500007381891215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754105978627072"/>
              <c:y val="2.3463683022270174E-2"/>
            </c:manualLayout>
          </c:layout>
          <c:spPr>
            <a:xfrm>
              <a:off x="347658" y="636267"/>
              <a:ext cx="276421" cy="382544"/>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6120"/>
                    <a:gd name="adj2" fmla="val 2915"/>
                  </a:avLst>
                </a:prstGeom>
                <a:noFill/>
                <a:ln>
                  <a:noFill/>
                </a:ln>
              </c15:spPr>
              <c15:layout>
                <c:manualLayout>
                  <c:w val="0.10704316873275783"/>
                  <c:h val="0.20193230951791502"/>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8524635871762417E-2"/>
              <c:y val="-9.3854732089080697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889"/>
                    <a:gd name="adj2" fmla="val 129825"/>
                  </a:avLst>
                </a:prstGeom>
                <a:noFill/>
                <a:ln>
                  <a:noFill/>
                </a:ln>
              </c15:spPr>
            </c:ext>
          </c:extLst>
        </c:dLbl>
      </c:pivotFmt>
    </c:pivotFmts>
    <c:plotArea>
      <c:layout>
        <c:manualLayout>
          <c:layoutTarget val="inner"/>
          <c:xMode val="edge"/>
          <c:yMode val="edge"/>
          <c:x val="0.28437535514246287"/>
          <c:y val="0.39765690827108152"/>
          <c:w val="0.37223254020009822"/>
          <c:h val="0.50740042978921751"/>
        </c:manualLayout>
      </c:layout>
      <c:doughnutChart>
        <c:varyColors val="1"/>
        <c:ser>
          <c:idx val="0"/>
          <c:order val="0"/>
          <c:tx>
            <c:strRef>
              <c:f>PivotTables!$AE$2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11D-4C71-B71B-60C178E79A3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11D-4C71-B71B-60C178E79A3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11D-4C71-B71B-60C178E79A3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11D-4C71-B71B-60C178E79A3E}"/>
              </c:ext>
            </c:extLst>
          </c:dPt>
          <c:dLbls>
            <c:dLbl>
              <c:idx val="0"/>
              <c:layout>
                <c:manualLayout>
                  <c:x val="0.19672141304836085"/>
                  <c:y val="-3.00000059055130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1D-4C71-B71B-60C178E79A3E}"/>
                </c:ext>
              </c:extLst>
            </c:dLbl>
            <c:dLbl>
              <c:idx val="1"/>
              <c:layout>
                <c:manualLayout>
                  <c:x val="0.211475519026988"/>
                  <c:y val="-3.75000073818912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1D-4C71-B71B-60C178E79A3E}"/>
                </c:ext>
              </c:extLst>
            </c:dLbl>
            <c:dLbl>
              <c:idx val="2"/>
              <c:layout>
                <c:manualLayout>
                  <c:x val="-0.14754105978627072"/>
                  <c:y val="2.3463683022270174E-2"/>
                </c:manualLayout>
              </c:layout>
              <c:spPr>
                <a:xfrm>
                  <a:off x="347658" y="636267"/>
                  <a:ext cx="276421" cy="382544"/>
                </a:xfrm>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6120"/>
                        <a:gd name="adj2" fmla="val 2915"/>
                      </a:avLst>
                    </a:prstGeom>
                    <a:noFill/>
                    <a:ln>
                      <a:noFill/>
                    </a:ln>
                  </c15:spPr>
                  <c15:layout>
                    <c:manualLayout>
                      <c:w val="0.10704316873275783"/>
                      <c:h val="0.20193230951791502"/>
                    </c:manualLayout>
                  </c15:layout>
                </c:ext>
                <c:ext xmlns:c16="http://schemas.microsoft.com/office/drawing/2014/chart" uri="{C3380CC4-5D6E-409C-BE32-E72D297353CC}">
                  <c16:uniqueId val="{00000005-B11D-4C71-B71B-60C178E79A3E}"/>
                </c:ext>
              </c:extLst>
            </c:dLbl>
            <c:dLbl>
              <c:idx val="3"/>
              <c:layout>
                <c:manualLayout>
                  <c:x val="-8.8524635871762417E-2"/>
                  <c:y val="-9.3854732089080697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889"/>
                        <a:gd name="adj2" fmla="val 129825"/>
                      </a:avLst>
                    </a:prstGeom>
                    <a:noFill/>
                    <a:ln>
                      <a:noFill/>
                    </a:ln>
                  </c15:spPr>
                </c:ext>
                <c:ext xmlns:c16="http://schemas.microsoft.com/office/drawing/2014/chart" uri="{C3380CC4-5D6E-409C-BE32-E72D297353CC}">
                  <c16:uniqueId val="{00000007-B11D-4C71-B71B-60C178E79A3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PivotTables!$AD$3:$AD$7</c:f>
              <c:strCache>
                <c:ptCount val="4"/>
                <c:pt idx="0">
                  <c:v>Casual</c:v>
                </c:pt>
                <c:pt idx="1">
                  <c:v>Formal</c:v>
                </c:pt>
                <c:pt idx="2">
                  <c:v>Open</c:v>
                </c:pt>
                <c:pt idx="3">
                  <c:v>Utility</c:v>
                </c:pt>
              </c:strCache>
            </c:strRef>
          </c:cat>
          <c:val>
            <c:numRef>
              <c:f>PivotTables!$AE$3:$AE$7</c:f>
              <c:numCache>
                <c:formatCode>[$$-409]#,##0_ ;\-[$$-409]#,##0\ </c:formatCode>
                <c:ptCount val="4"/>
                <c:pt idx="0">
                  <c:v>82917</c:v>
                </c:pt>
                <c:pt idx="1">
                  <c:v>179935</c:v>
                </c:pt>
                <c:pt idx="2">
                  <c:v>53035</c:v>
                </c:pt>
                <c:pt idx="3">
                  <c:v>39161</c:v>
                </c:pt>
              </c:numCache>
            </c:numRef>
          </c:val>
          <c:extLst>
            <c:ext xmlns:c16="http://schemas.microsoft.com/office/drawing/2014/chart" uri="{C3380CC4-5D6E-409C-BE32-E72D297353CC}">
              <c16:uniqueId val="{00000008-B11D-4C71-B71B-60C178E79A3E}"/>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[Shoe_Sales.xlsx]PivotTables!PivotTable6</c:name>
    <c:fmtId val="1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Revenue by Brand </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w="19050">
            <a:solidFill>
              <a:schemeClr val="lt1"/>
            </a:solidFill>
          </a:ln>
          <a:effectLst/>
        </c:spPr>
      </c:pivotFmt>
    </c:pivotFmts>
    <c:plotArea>
      <c:layout/>
      <c:barChart>
        <c:barDir val="bar"/>
        <c:grouping val="clustered"/>
        <c:varyColors val="0"/>
        <c:ser>
          <c:idx val="0"/>
          <c:order val="0"/>
          <c:tx>
            <c:strRef>
              <c:f>PivotTables!$AN$3</c:f>
              <c:strCache>
                <c:ptCount val="1"/>
                <c:pt idx="0">
                  <c:v>Total</c:v>
                </c:pt>
              </c:strCache>
            </c:strRef>
          </c:tx>
          <c:spPr>
            <a:solidFill>
              <a:srgbClr val="C00000"/>
            </a:solidFill>
            <a:ln w="19050">
              <a:solidFill>
                <a:schemeClr val="lt1"/>
              </a:solidFill>
            </a:ln>
            <a:effectLst/>
          </c:spPr>
          <c:invertIfNegative val="0"/>
          <c:dPt>
            <c:idx val="0"/>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1-0225-4CE3-A1A8-0CA0B827B895}"/>
              </c:ext>
            </c:extLst>
          </c:dPt>
          <c:cat>
            <c:strRef>
              <c:f>PivotTables!$AM$4:$AM$9</c:f>
              <c:strCache>
                <c:ptCount val="5"/>
                <c:pt idx="0">
                  <c:v>Clarks</c:v>
                </c:pt>
                <c:pt idx="1">
                  <c:v>Nike</c:v>
                </c:pt>
                <c:pt idx="2">
                  <c:v>Steve Madden</c:v>
                </c:pt>
                <c:pt idx="3">
                  <c:v>Timberland</c:v>
                </c:pt>
                <c:pt idx="4">
                  <c:v>Zara</c:v>
                </c:pt>
              </c:strCache>
            </c:strRef>
          </c:cat>
          <c:val>
            <c:numRef>
              <c:f>PivotTables!$AN$4:$AN$9</c:f>
              <c:numCache>
                <c:formatCode>[$$-409]#,##0_ ;\-[$$-409]#,##0\ </c:formatCode>
                <c:ptCount val="5"/>
                <c:pt idx="0">
                  <c:v>123543</c:v>
                </c:pt>
                <c:pt idx="1">
                  <c:v>54029</c:v>
                </c:pt>
                <c:pt idx="2">
                  <c:v>43855</c:v>
                </c:pt>
                <c:pt idx="3">
                  <c:v>38824</c:v>
                </c:pt>
                <c:pt idx="4">
                  <c:v>94797</c:v>
                </c:pt>
              </c:numCache>
            </c:numRef>
          </c:val>
          <c:extLst>
            <c:ext xmlns:c16="http://schemas.microsoft.com/office/drawing/2014/chart" uri="{C3380CC4-5D6E-409C-BE32-E72D297353CC}">
              <c16:uniqueId val="{00000000-0225-4CE3-A1A8-0CA0B827B895}"/>
            </c:ext>
          </c:extLst>
        </c:ser>
        <c:dLbls>
          <c:showLegendKey val="0"/>
          <c:showVal val="0"/>
          <c:showCatName val="0"/>
          <c:showSerName val="0"/>
          <c:showPercent val="0"/>
          <c:showBubbleSize val="0"/>
        </c:dLbls>
        <c:gapWidth val="150"/>
        <c:axId val="1552553199"/>
        <c:axId val="1465836319"/>
      </c:barChart>
      <c:valAx>
        <c:axId val="1465836319"/>
        <c:scaling>
          <c:orientation val="minMax"/>
        </c:scaling>
        <c:delete val="0"/>
        <c:axPos val="b"/>
        <c:numFmt formatCode="[$$-409]#,##0_ ;\-[$$-409]#,##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553199"/>
        <c:crosses val="autoZero"/>
        <c:crossBetween val="between"/>
      </c:valAx>
      <c:catAx>
        <c:axId val="1552553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36319"/>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[Shoe_Sales.xlsx]PivotTables!PivotTable8</c:name>
    <c:fmtId val="1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Distribution of Payment type </a:t>
            </a:r>
            <a:endParaRPr lang="en-US" sz="1200" b="1"/>
          </a:p>
        </c:rich>
      </c:tx>
      <c:layout>
        <c:manualLayout>
          <c:xMode val="edge"/>
          <c:yMode val="edge"/>
          <c:x val="0.14847560189954256"/>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noFill/>
          </a:ln>
          <a:effectLst/>
          <a:sp3d/>
        </c:spPr>
      </c:pivotFmt>
      <c:pivotFmt>
        <c:idx val="2"/>
        <c:spPr>
          <a:solidFill>
            <a:schemeClr val="accent1"/>
          </a:solidFill>
          <a:ln w="25400">
            <a:noFill/>
          </a:ln>
          <a:effectLst/>
          <a:sp3d/>
        </c:spPr>
      </c:pivotFmt>
      <c:pivotFmt>
        <c:idx val="3"/>
        <c:spPr>
          <a:solidFill>
            <a:schemeClr val="accent1"/>
          </a:solidFill>
          <a:ln w="25400">
            <a:noFill/>
          </a:ln>
          <a:effectLst/>
          <a:sp3d/>
        </c:spPr>
      </c:pivotFmt>
      <c:pivotFmt>
        <c:idx val="4"/>
        <c:spPr>
          <a:solidFill>
            <a:schemeClr val="accent1"/>
          </a:solidFill>
          <a:ln w="25400">
            <a:noFill/>
          </a:ln>
          <a:effectLst/>
          <a:sp3d/>
        </c:spPr>
      </c:pivotFmt>
      <c:pivotFmt>
        <c:idx val="5"/>
        <c:spPr>
          <a:solidFill>
            <a:schemeClr val="accent1"/>
          </a:solidFill>
          <a:ln w="25400">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noFill/>
          </a:ln>
          <a:effectLst/>
          <a:sp3d/>
        </c:spPr>
      </c:pivotFmt>
      <c:pivotFmt>
        <c:idx val="7"/>
        <c:spPr>
          <a:solidFill>
            <a:schemeClr val="accent1"/>
          </a:solidFill>
          <a:ln w="25400">
            <a:noFill/>
          </a:ln>
          <a:effectLst/>
          <a:sp3d/>
        </c:spPr>
      </c:pivotFmt>
      <c:pivotFmt>
        <c:idx val="8"/>
        <c:spPr>
          <a:solidFill>
            <a:schemeClr val="accent1"/>
          </a:solidFill>
          <a:ln w="25400">
            <a:noFill/>
          </a:ln>
          <a:effectLst/>
          <a:sp3d/>
        </c:spPr>
      </c:pivotFmt>
      <c:pivotFmt>
        <c:idx val="9"/>
        <c:spPr>
          <a:solidFill>
            <a:schemeClr val="accent1"/>
          </a:solidFill>
          <a:ln w="25400">
            <a:noFill/>
          </a:ln>
          <a:effectLst/>
          <a:sp3d/>
        </c:spPr>
      </c:pivotFmt>
      <c:pivotFmt>
        <c:idx val="1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noFill/>
          </a:ln>
          <a:effectLst/>
          <a:sp3d/>
        </c:spPr>
      </c:pivotFmt>
      <c:pivotFmt>
        <c:idx val="12"/>
        <c:spPr>
          <a:solidFill>
            <a:schemeClr val="accent1"/>
          </a:solidFill>
          <a:ln w="25400">
            <a:noFill/>
          </a:ln>
          <a:effectLst/>
          <a:sp3d/>
        </c:spPr>
      </c:pivotFmt>
      <c:pivotFmt>
        <c:idx val="13"/>
        <c:spPr>
          <a:solidFill>
            <a:schemeClr val="accent1"/>
          </a:solidFill>
          <a:ln w="25400">
            <a:noFill/>
          </a:ln>
          <a:effectLst/>
          <a:sp3d/>
        </c:spPr>
      </c:pivotFmt>
      <c:pivotFmt>
        <c:idx val="14"/>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PivotTables!$BK$4</c:f>
              <c:strCache>
                <c:ptCount val="1"/>
                <c:pt idx="0">
                  <c:v>Total</c:v>
                </c:pt>
              </c:strCache>
            </c:strRef>
          </c:tx>
          <c:spPr>
            <a:ln>
              <a:noFill/>
            </a:ln>
          </c:spPr>
          <c:dPt>
            <c:idx val="0"/>
            <c:bubble3D val="0"/>
            <c:spPr>
              <a:solidFill>
                <a:schemeClr val="accent1"/>
              </a:solidFill>
              <a:ln w="25400">
                <a:noFill/>
              </a:ln>
              <a:effectLst/>
              <a:sp3d/>
            </c:spPr>
            <c:extLst>
              <c:ext xmlns:c16="http://schemas.microsoft.com/office/drawing/2014/chart" uri="{C3380CC4-5D6E-409C-BE32-E72D297353CC}">
                <c16:uniqueId val="{00000001-D207-4782-9870-CBA2F70C016D}"/>
              </c:ext>
            </c:extLst>
          </c:dPt>
          <c:dPt>
            <c:idx val="1"/>
            <c:bubble3D val="0"/>
            <c:spPr>
              <a:solidFill>
                <a:schemeClr val="accent2"/>
              </a:solidFill>
              <a:ln w="25400">
                <a:noFill/>
              </a:ln>
              <a:effectLst/>
              <a:sp3d/>
            </c:spPr>
            <c:extLst>
              <c:ext xmlns:c16="http://schemas.microsoft.com/office/drawing/2014/chart" uri="{C3380CC4-5D6E-409C-BE32-E72D297353CC}">
                <c16:uniqueId val="{00000003-D207-4782-9870-CBA2F70C016D}"/>
              </c:ext>
            </c:extLst>
          </c:dPt>
          <c:dPt>
            <c:idx val="2"/>
            <c:bubble3D val="0"/>
            <c:spPr>
              <a:solidFill>
                <a:schemeClr val="accent3"/>
              </a:solidFill>
              <a:ln w="25400">
                <a:noFill/>
              </a:ln>
              <a:effectLst/>
              <a:sp3d/>
            </c:spPr>
            <c:extLst>
              <c:ext xmlns:c16="http://schemas.microsoft.com/office/drawing/2014/chart" uri="{C3380CC4-5D6E-409C-BE32-E72D297353CC}">
                <c16:uniqueId val="{00000005-D207-4782-9870-CBA2F70C016D}"/>
              </c:ext>
            </c:extLst>
          </c:dPt>
          <c:dPt>
            <c:idx val="3"/>
            <c:bubble3D val="0"/>
            <c:spPr>
              <a:solidFill>
                <a:schemeClr val="accent4"/>
              </a:solidFill>
              <a:ln w="25400">
                <a:noFill/>
              </a:ln>
              <a:effectLst/>
              <a:sp3d/>
            </c:spPr>
            <c:extLst>
              <c:ext xmlns:c16="http://schemas.microsoft.com/office/drawing/2014/chart" uri="{C3380CC4-5D6E-409C-BE32-E72D297353CC}">
                <c16:uniqueId val="{00000007-D207-4782-9870-CBA2F70C01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PivotTables!$BJ$5:$BJ$9</c:f>
              <c:strCache>
                <c:ptCount val="4"/>
                <c:pt idx="0">
                  <c:v>Bank Transfer</c:v>
                </c:pt>
                <c:pt idx="1">
                  <c:v>Card</c:v>
                </c:pt>
                <c:pt idx="2">
                  <c:v>Cash</c:v>
                </c:pt>
                <c:pt idx="3">
                  <c:v>Mobile Money</c:v>
                </c:pt>
              </c:strCache>
            </c:strRef>
          </c:cat>
          <c:val>
            <c:numRef>
              <c:f>PivotTables!$BK$5:$BK$9</c:f>
              <c:numCache>
                <c:formatCode>General</c:formatCode>
                <c:ptCount val="4"/>
                <c:pt idx="0">
                  <c:v>135</c:v>
                </c:pt>
                <c:pt idx="1">
                  <c:v>137</c:v>
                </c:pt>
                <c:pt idx="2">
                  <c:v>125</c:v>
                </c:pt>
                <c:pt idx="3">
                  <c:v>103</c:v>
                </c:pt>
              </c:numCache>
            </c:numRef>
          </c:val>
          <c:extLst>
            <c:ext xmlns:c16="http://schemas.microsoft.com/office/drawing/2014/chart" uri="{C3380CC4-5D6E-409C-BE32-E72D297353CC}">
              <c16:uniqueId val="{00000008-D207-4782-9870-CBA2F70C016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[Shoe_Sales.xlsx]PivotTables!PivotTable1</c:name>
    <c:fmtId val="1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Products</a:t>
            </a:r>
            <a:r>
              <a:rPr lang="en-US" sz="1200" b="1" baseline="0"/>
              <a:t> by Revenue &amp; Profit</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pivotFmt>
    </c:pivotFmts>
    <c:plotArea>
      <c:layout/>
      <c:barChart>
        <c:barDir val="col"/>
        <c:grouping val="clustered"/>
        <c:varyColors val="0"/>
        <c:ser>
          <c:idx val="1"/>
          <c:order val="1"/>
          <c:tx>
            <c:strRef>
              <c:f>PivotTables!$K$3</c:f>
              <c:strCache>
                <c:ptCount val="1"/>
                <c:pt idx="0">
                  <c:v>Sum of Revenue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PivotTables!$I$4:$I$12</c:f>
              <c:strCache>
                <c:ptCount val="8"/>
                <c:pt idx="0">
                  <c:v>Boots</c:v>
                </c:pt>
                <c:pt idx="1">
                  <c:v>Brogues</c:v>
                </c:pt>
                <c:pt idx="2">
                  <c:v>Canvas</c:v>
                </c:pt>
                <c:pt idx="3">
                  <c:v>Derby</c:v>
                </c:pt>
                <c:pt idx="4">
                  <c:v>Loafers</c:v>
                </c:pt>
                <c:pt idx="5">
                  <c:v>Monk Straps</c:v>
                </c:pt>
                <c:pt idx="6">
                  <c:v>Oxford</c:v>
                </c:pt>
                <c:pt idx="7">
                  <c:v>Slippers</c:v>
                </c:pt>
              </c:strCache>
            </c:strRef>
          </c:cat>
          <c:val>
            <c:numRef>
              <c:f>PivotTables!$K$4:$K$12</c:f>
              <c:numCache>
                <c:formatCode>[$$-540A]#,##0_ ;\-[$$-540A]#,##0\ </c:formatCode>
                <c:ptCount val="8"/>
                <c:pt idx="0">
                  <c:v>41040</c:v>
                </c:pt>
                <c:pt idx="1">
                  <c:v>58576</c:v>
                </c:pt>
                <c:pt idx="2">
                  <c:v>63488</c:v>
                </c:pt>
                <c:pt idx="3">
                  <c:v>16704</c:v>
                </c:pt>
                <c:pt idx="4">
                  <c:v>24462</c:v>
                </c:pt>
                <c:pt idx="5">
                  <c:v>51175</c:v>
                </c:pt>
                <c:pt idx="6">
                  <c:v>58905</c:v>
                </c:pt>
                <c:pt idx="7">
                  <c:v>40698</c:v>
                </c:pt>
              </c:numCache>
            </c:numRef>
          </c:val>
          <c:extLst>
            <c:ext xmlns:c16="http://schemas.microsoft.com/office/drawing/2014/chart" uri="{C3380CC4-5D6E-409C-BE32-E72D297353CC}">
              <c16:uniqueId val="{00000000-3E7A-45AC-BCCE-07B1187CDEF7}"/>
            </c:ext>
          </c:extLst>
        </c:ser>
        <c:dLbls>
          <c:showLegendKey val="0"/>
          <c:showVal val="1"/>
          <c:showCatName val="0"/>
          <c:showSerName val="0"/>
          <c:showPercent val="0"/>
          <c:showBubbleSize val="0"/>
        </c:dLbls>
        <c:gapWidth val="100"/>
        <c:axId val="1060556880"/>
        <c:axId val="866392704"/>
      </c:barChart>
      <c:lineChart>
        <c:grouping val="standard"/>
        <c:varyColors val="0"/>
        <c:ser>
          <c:idx val="0"/>
          <c:order val="0"/>
          <c:tx>
            <c:strRef>
              <c:f>PivotTables!$J$3</c:f>
              <c:strCache>
                <c:ptCount val="1"/>
                <c:pt idx="0">
                  <c:v>Sum of Profit</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1-3E7A-45AC-BCCE-07B1187CDE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PivotTables!$I$4:$I$12</c:f>
              <c:strCache>
                <c:ptCount val="8"/>
                <c:pt idx="0">
                  <c:v>Boots</c:v>
                </c:pt>
                <c:pt idx="1">
                  <c:v>Brogues</c:v>
                </c:pt>
                <c:pt idx="2">
                  <c:v>Canvas</c:v>
                </c:pt>
                <c:pt idx="3">
                  <c:v>Derby</c:v>
                </c:pt>
                <c:pt idx="4">
                  <c:v>Loafers</c:v>
                </c:pt>
                <c:pt idx="5">
                  <c:v>Monk Straps</c:v>
                </c:pt>
                <c:pt idx="6">
                  <c:v>Oxford</c:v>
                </c:pt>
                <c:pt idx="7">
                  <c:v>Slippers</c:v>
                </c:pt>
              </c:strCache>
            </c:strRef>
          </c:cat>
          <c:val>
            <c:numRef>
              <c:f>PivotTables!$J$4:$J$12</c:f>
              <c:numCache>
                <c:formatCode>[$$-540A]#,##0_ ;\-[$$-540A]#,##0\ </c:formatCode>
                <c:ptCount val="8"/>
                <c:pt idx="0">
                  <c:v>19980</c:v>
                </c:pt>
                <c:pt idx="1">
                  <c:v>25104</c:v>
                </c:pt>
                <c:pt idx="2">
                  <c:v>27776</c:v>
                </c:pt>
                <c:pt idx="3">
                  <c:v>9396</c:v>
                </c:pt>
                <c:pt idx="4">
                  <c:v>11778</c:v>
                </c:pt>
                <c:pt idx="5">
                  <c:v>24150</c:v>
                </c:pt>
                <c:pt idx="6">
                  <c:v>26367</c:v>
                </c:pt>
                <c:pt idx="7">
                  <c:v>17784</c:v>
                </c:pt>
              </c:numCache>
            </c:numRef>
          </c:val>
          <c:smooth val="0"/>
          <c:extLst>
            <c:ext xmlns:c16="http://schemas.microsoft.com/office/drawing/2014/chart" uri="{C3380CC4-5D6E-409C-BE32-E72D297353CC}">
              <c16:uniqueId val="{00000002-3E7A-45AC-BCCE-07B1187CDEF7}"/>
            </c:ext>
          </c:extLst>
        </c:ser>
        <c:dLbls>
          <c:showLegendKey val="0"/>
          <c:showVal val="1"/>
          <c:showCatName val="0"/>
          <c:showSerName val="0"/>
          <c:showPercent val="0"/>
          <c:showBubbleSize val="0"/>
        </c:dLbls>
        <c:marker val="1"/>
        <c:smooth val="0"/>
        <c:axId val="1060556880"/>
        <c:axId val="866392704"/>
      </c:lineChart>
      <c:catAx>
        <c:axId val="1060556880"/>
        <c:scaling>
          <c:orientation val="minMax"/>
        </c:scaling>
        <c:delete val="1"/>
        <c:axPos val="b"/>
        <c:numFmt formatCode="General" sourceLinked="1"/>
        <c:majorTickMark val="none"/>
        <c:minorTickMark val="none"/>
        <c:tickLblPos val="nextTo"/>
        <c:crossAx val="866392704"/>
        <c:crosses val="autoZero"/>
        <c:auto val="1"/>
        <c:lblAlgn val="ctr"/>
        <c:lblOffset val="100"/>
        <c:noMultiLvlLbl val="0"/>
      </c:catAx>
      <c:valAx>
        <c:axId val="866392704"/>
        <c:scaling>
          <c:orientation val="minMax"/>
        </c:scaling>
        <c:delete val="0"/>
        <c:axPos val="l"/>
        <c:numFmt formatCode="[$$-540A]#,##0_ ;\-[$$-540A]#,##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568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[Shoe_Sales.xlsx]PivotTables!PivotTable7</c:name>
    <c:fmtId val="2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Revenue &amp; Profit by Country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PivotTables!$AX$4</c:f>
              <c:strCache>
                <c:ptCount val="1"/>
                <c:pt idx="0">
                  <c:v> Revenue</c:v>
                </c:pt>
              </c:strCache>
            </c:strRef>
          </c:tx>
          <c:spPr>
            <a:solidFill>
              <a:srgbClr val="C00000"/>
            </a:solidFill>
            <a:ln>
              <a:noFill/>
            </a:ln>
            <a:effectLst/>
          </c:spPr>
          <c:invertIfNegative val="0"/>
          <c:cat>
            <c:strRef>
              <c:f>PivotTables!$AW$5:$AW$19</c:f>
              <c:strCache>
                <c:ptCount val="14"/>
                <c:pt idx="0">
                  <c:v>USA</c:v>
                </c:pt>
                <c:pt idx="1">
                  <c:v>UK</c:v>
                </c:pt>
                <c:pt idx="2">
                  <c:v>Ghana</c:v>
                </c:pt>
                <c:pt idx="3">
                  <c:v>Zimbabwe</c:v>
                </c:pt>
                <c:pt idx="4">
                  <c:v>India</c:v>
                </c:pt>
                <c:pt idx="5">
                  <c:v>Cyprus</c:v>
                </c:pt>
                <c:pt idx="6">
                  <c:v>Kenya</c:v>
                </c:pt>
                <c:pt idx="7">
                  <c:v>Uganda</c:v>
                </c:pt>
                <c:pt idx="8">
                  <c:v>Nigeria</c:v>
                </c:pt>
                <c:pt idx="9">
                  <c:v>Philippines</c:v>
                </c:pt>
                <c:pt idx="10">
                  <c:v>Germany</c:v>
                </c:pt>
                <c:pt idx="11">
                  <c:v>Australia</c:v>
                </c:pt>
                <c:pt idx="12">
                  <c:v>Canada</c:v>
                </c:pt>
                <c:pt idx="13">
                  <c:v>Albania</c:v>
                </c:pt>
              </c:strCache>
            </c:strRef>
          </c:cat>
          <c:val>
            <c:numRef>
              <c:f>PivotTables!$AX$5:$AX$19</c:f>
              <c:numCache>
                <c:formatCode>[$$-409]#,##0_ ;\-[$$-409]#,##0\ </c:formatCode>
                <c:ptCount val="14"/>
                <c:pt idx="0">
                  <c:v>39127</c:v>
                </c:pt>
                <c:pt idx="1">
                  <c:v>32871</c:v>
                </c:pt>
                <c:pt idx="2">
                  <c:v>32026</c:v>
                </c:pt>
                <c:pt idx="3">
                  <c:v>30124</c:v>
                </c:pt>
                <c:pt idx="4">
                  <c:v>29392</c:v>
                </c:pt>
                <c:pt idx="5">
                  <c:v>26531</c:v>
                </c:pt>
                <c:pt idx="6">
                  <c:v>26595</c:v>
                </c:pt>
                <c:pt idx="7">
                  <c:v>25851</c:v>
                </c:pt>
                <c:pt idx="8">
                  <c:v>20798</c:v>
                </c:pt>
                <c:pt idx="9">
                  <c:v>20810</c:v>
                </c:pt>
                <c:pt idx="10">
                  <c:v>20204</c:v>
                </c:pt>
                <c:pt idx="11">
                  <c:v>18562</c:v>
                </c:pt>
                <c:pt idx="12">
                  <c:v>17565</c:v>
                </c:pt>
                <c:pt idx="13">
                  <c:v>14592</c:v>
                </c:pt>
              </c:numCache>
            </c:numRef>
          </c:val>
          <c:extLst>
            <c:ext xmlns:c16="http://schemas.microsoft.com/office/drawing/2014/chart" uri="{C3380CC4-5D6E-409C-BE32-E72D297353CC}">
              <c16:uniqueId val="{00000000-D8EA-4BE4-8925-CC0320549556}"/>
            </c:ext>
          </c:extLst>
        </c:ser>
        <c:ser>
          <c:idx val="1"/>
          <c:order val="1"/>
          <c:tx>
            <c:strRef>
              <c:f>PivotTables!$AY$4</c:f>
              <c:strCache>
                <c:ptCount val="1"/>
                <c:pt idx="0">
                  <c:v> Profit</c:v>
                </c:pt>
              </c:strCache>
            </c:strRef>
          </c:tx>
          <c:spPr>
            <a:solidFill>
              <a:srgbClr val="002060"/>
            </a:solidFill>
            <a:ln>
              <a:solidFill>
                <a:srgbClr val="0070C0"/>
              </a:solidFill>
            </a:ln>
            <a:effectLst/>
          </c:spPr>
          <c:invertIfNegative val="0"/>
          <c:cat>
            <c:strRef>
              <c:f>PivotTables!$AW$5:$AW$19</c:f>
              <c:strCache>
                <c:ptCount val="14"/>
                <c:pt idx="0">
                  <c:v>USA</c:v>
                </c:pt>
                <c:pt idx="1">
                  <c:v>UK</c:v>
                </c:pt>
                <c:pt idx="2">
                  <c:v>Ghana</c:v>
                </c:pt>
                <c:pt idx="3">
                  <c:v>Zimbabwe</c:v>
                </c:pt>
                <c:pt idx="4">
                  <c:v>India</c:v>
                </c:pt>
                <c:pt idx="5">
                  <c:v>Cyprus</c:v>
                </c:pt>
                <c:pt idx="6">
                  <c:v>Kenya</c:v>
                </c:pt>
                <c:pt idx="7">
                  <c:v>Uganda</c:v>
                </c:pt>
                <c:pt idx="8">
                  <c:v>Nigeria</c:v>
                </c:pt>
                <c:pt idx="9">
                  <c:v>Philippines</c:v>
                </c:pt>
                <c:pt idx="10">
                  <c:v>Germany</c:v>
                </c:pt>
                <c:pt idx="11">
                  <c:v>Australia</c:v>
                </c:pt>
                <c:pt idx="12">
                  <c:v>Canada</c:v>
                </c:pt>
                <c:pt idx="13">
                  <c:v>Albania</c:v>
                </c:pt>
              </c:strCache>
            </c:strRef>
          </c:cat>
          <c:val>
            <c:numRef>
              <c:f>PivotTables!$AY$5:$AY$19</c:f>
              <c:numCache>
                <c:formatCode>[$$-409]#,##0</c:formatCode>
                <c:ptCount val="14"/>
                <c:pt idx="0">
                  <c:v>17892</c:v>
                </c:pt>
                <c:pt idx="1">
                  <c:v>15393</c:v>
                </c:pt>
                <c:pt idx="2">
                  <c:v>14468</c:v>
                </c:pt>
                <c:pt idx="3">
                  <c:v>13584</c:v>
                </c:pt>
                <c:pt idx="4">
                  <c:v>13441</c:v>
                </c:pt>
                <c:pt idx="5">
                  <c:v>12210</c:v>
                </c:pt>
                <c:pt idx="6">
                  <c:v>11974</c:v>
                </c:pt>
                <c:pt idx="7">
                  <c:v>11798</c:v>
                </c:pt>
                <c:pt idx="8">
                  <c:v>9638</c:v>
                </c:pt>
                <c:pt idx="9">
                  <c:v>9548</c:v>
                </c:pt>
                <c:pt idx="10">
                  <c:v>9010</c:v>
                </c:pt>
                <c:pt idx="11">
                  <c:v>8476</c:v>
                </c:pt>
                <c:pt idx="12">
                  <c:v>8102</c:v>
                </c:pt>
                <c:pt idx="13">
                  <c:v>6801</c:v>
                </c:pt>
              </c:numCache>
            </c:numRef>
          </c:val>
          <c:extLst>
            <c:ext xmlns:c16="http://schemas.microsoft.com/office/drawing/2014/chart" uri="{C3380CC4-5D6E-409C-BE32-E72D297353CC}">
              <c16:uniqueId val="{00000001-D8EA-4BE4-8925-CC0320549556}"/>
            </c:ext>
          </c:extLst>
        </c:ser>
        <c:dLbls>
          <c:showLegendKey val="0"/>
          <c:showVal val="0"/>
          <c:showCatName val="0"/>
          <c:showSerName val="0"/>
          <c:showPercent val="0"/>
          <c:showBubbleSize val="0"/>
        </c:dLbls>
        <c:gapWidth val="219"/>
        <c:axId val="1561116159"/>
        <c:axId val="1504516831"/>
      </c:barChart>
      <c:catAx>
        <c:axId val="15611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516831"/>
        <c:crosses val="autoZero"/>
        <c:auto val="1"/>
        <c:lblAlgn val="ctr"/>
        <c:lblOffset val="100"/>
        <c:noMultiLvlLbl val="0"/>
      </c:catAx>
      <c:valAx>
        <c:axId val="1504516831"/>
        <c:scaling>
          <c:orientation val="minMax"/>
        </c:scaling>
        <c:delete val="0"/>
        <c:axPos val="l"/>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16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201083</xdr:colOff>
      <xdr:row>1</xdr:row>
      <xdr:rowOff>74083</xdr:rowOff>
    </xdr:from>
    <xdr:to>
      <xdr:col>16</xdr:col>
      <xdr:colOff>533399</xdr:colOff>
      <xdr:row>15</xdr:row>
      <xdr:rowOff>74083</xdr:rowOff>
    </xdr:to>
    <xdr:graphicFrame macro="">
      <xdr:nvGraphicFramePr>
        <xdr:cNvPr id="2" name="Chart 1">
          <a:extLst>
            <a:ext uri="{FF2B5EF4-FFF2-40B4-BE49-F238E27FC236}">
              <a16:creationId xmlns:a16="http://schemas.microsoft.com/office/drawing/2014/main" id="{5548F8D8-4C9A-1278-0FD9-AD83647F2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104775</xdr:colOff>
      <xdr:row>1</xdr:row>
      <xdr:rowOff>4763</xdr:rowOff>
    </xdr:from>
    <xdr:to>
      <xdr:col>26</xdr:col>
      <xdr:colOff>560917</xdr:colOff>
      <xdr:row>11</xdr:row>
      <xdr:rowOff>95251</xdr:rowOff>
    </xdr:to>
    <xdr:graphicFrame macro="">
      <xdr:nvGraphicFramePr>
        <xdr:cNvPr id="3" name="Chart 2">
          <a:extLst>
            <a:ext uri="{FF2B5EF4-FFF2-40B4-BE49-F238E27FC236}">
              <a16:creationId xmlns:a16="http://schemas.microsoft.com/office/drawing/2014/main" id="{8AF74DFD-C1B2-C345-B460-9DB64F067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518583</xdr:colOff>
      <xdr:row>1</xdr:row>
      <xdr:rowOff>10583</xdr:rowOff>
    </xdr:from>
    <xdr:to>
      <xdr:col>35</xdr:col>
      <xdr:colOff>95249</xdr:colOff>
      <xdr:row>11</xdr:row>
      <xdr:rowOff>0</xdr:rowOff>
    </xdr:to>
    <xdr:graphicFrame macro="">
      <xdr:nvGraphicFramePr>
        <xdr:cNvPr id="4" name="Chart 3">
          <a:extLst>
            <a:ext uri="{FF2B5EF4-FFF2-40B4-BE49-F238E27FC236}">
              <a16:creationId xmlns:a16="http://schemas.microsoft.com/office/drawing/2014/main" id="{07799129-2105-9CFA-9220-BB1922076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571500</xdr:colOff>
      <xdr:row>1</xdr:row>
      <xdr:rowOff>141817</xdr:rowOff>
    </xdr:from>
    <xdr:to>
      <xdr:col>45</xdr:col>
      <xdr:colOff>338668</xdr:colOff>
      <xdr:row>11</xdr:row>
      <xdr:rowOff>52917</xdr:rowOff>
    </xdr:to>
    <xdr:graphicFrame macro="">
      <xdr:nvGraphicFramePr>
        <xdr:cNvPr id="5" name="Chart 4">
          <a:extLst>
            <a:ext uri="{FF2B5EF4-FFF2-40B4-BE49-F238E27FC236}">
              <a16:creationId xmlns:a16="http://schemas.microsoft.com/office/drawing/2014/main" id="{73F771B7-567E-7798-1C72-3C8B3ECFF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51</xdr:col>
      <xdr:colOff>433917</xdr:colOff>
      <xdr:row>2</xdr:row>
      <xdr:rowOff>46567</xdr:rowOff>
    </xdr:from>
    <xdr:to>
      <xdr:col>58</xdr:col>
      <xdr:colOff>486834</xdr:colOff>
      <xdr:row>15</xdr:row>
      <xdr:rowOff>127000</xdr:rowOff>
    </xdr:to>
    <xdr:graphicFrame macro="">
      <xdr:nvGraphicFramePr>
        <xdr:cNvPr id="6" name="Chart 5">
          <a:extLst>
            <a:ext uri="{FF2B5EF4-FFF2-40B4-BE49-F238E27FC236}">
              <a16:creationId xmlns:a16="http://schemas.microsoft.com/office/drawing/2014/main" id="{5C8C4DED-498D-B486-8F24-475E7BC1F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63</xdr:col>
      <xdr:colOff>444501</xdr:colOff>
      <xdr:row>0</xdr:row>
      <xdr:rowOff>84667</xdr:rowOff>
    </xdr:from>
    <xdr:to>
      <xdr:col>66</xdr:col>
      <xdr:colOff>539751</xdr:colOff>
      <xdr:row>12</xdr:row>
      <xdr:rowOff>154516</xdr:rowOff>
    </xdr:to>
    <xdr:graphicFrame macro="">
      <xdr:nvGraphicFramePr>
        <xdr:cNvPr id="8" name="Chart 7">
          <a:extLst>
            <a:ext uri="{FF2B5EF4-FFF2-40B4-BE49-F238E27FC236}">
              <a16:creationId xmlns:a16="http://schemas.microsoft.com/office/drawing/2014/main" id="{2EDF0527-7646-DF7E-940E-583B31743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323851</xdr:colOff>
      <xdr:row>12</xdr:row>
      <xdr:rowOff>158750</xdr:rowOff>
    </xdr:from>
    <xdr:to>
      <xdr:col>9</xdr:col>
      <xdr:colOff>603251</xdr:colOff>
      <xdr:row>20</xdr:row>
      <xdr:rowOff>63500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F3E0941-1715-E4A0-BA9B-3A439EDDB6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94351" y="2444750"/>
              <a:ext cx="1083733"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9524</xdr:rowOff>
    </xdr:from>
    <xdr:to>
      <xdr:col>12</xdr:col>
      <xdr:colOff>428625</xdr:colOff>
      <xdr:row>32</xdr:row>
      <xdr:rowOff>171450</xdr:rowOff>
    </xdr:to>
    <xdr:sp macro="" textlink="">
      <xdr:nvSpPr>
        <xdr:cNvPr id="2" name="Rectangle 1">
          <a:extLst>
            <a:ext uri="{FF2B5EF4-FFF2-40B4-BE49-F238E27FC236}">
              <a16:creationId xmlns:a16="http://schemas.microsoft.com/office/drawing/2014/main" id="{07E3D762-ADA0-E04D-0C63-7468B3AD4106}"/>
            </a:ext>
          </a:extLst>
        </xdr:cNvPr>
        <xdr:cNvSpPr/>
      </xdr:nvSpPr>
      <xdr:spPr>
        <a:xfrm>
          <a:off x="190500" y="200024"/>
          <a:ext cx="7553325" cy="6067426"/>
        </a:xfrm>
        <a:prstGeom prst="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0</xdr:col>
      <xdr:colOff>409576</xdr:colOff>
      <xdr:row>2</xdr:row>
      <xdr:rowOff>133350</xdr:rowOff>
    </xdr:from>
    <xdr:to>
      <xdr:col>12</xdr:col>
      <xdr:colOff>238126</xdr:colOff>
      <xdr:row>4</xdr:row>
      <xdr:rowOff>133350</xdr:rowOff>
    </xdr:to>
    <xdr:sp macro="" textlink="">
      <xdr:nvSpPr>
        <xdr:cNvPr id="3" name="Rectangle: Rounded Corners 2">
          <a:extLst>
            <a:ext uri="{FF2B5EF4-FFF2-40B4-BE49-F238E27FC236}">
              <a16:creationId xmlns:a16="http://schemas.microsoft.com/office/drawing/2014/main" id="{C0F034BE-896E-6CBE-9CC5-AB45DAA7ADAA}"/>
            </a:ext>
          </a:extLst>
        </xdr:cNvPr>
        <xdr:cNvSpPr/>
      </xdr:nvSpPr>
      <xdr:spPr>
        <a:xfrm>
          <a:off x="409576" y="514350"/>
          <a:ext cx="7143750" cy="38100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xdr:from>
      <xdr:col>0</xdr:col>
      <xdr:colOff>558512</xdr:colOff>
      <xdr:row>6</xdr:row>
      <xdr:rowOff>19049</xdr:rowOff>
    </xdr:from>
    <xdr:to>
      <xdr:col>2</xdr:col>
      <xdr:colOff>413039</xdr:colOff>
      <xdr:row>8</xdr:row>
      <xdr:rowOff>123824</xdr:rowOff>
    </xdr:to>
    <xdr:sp macro="" textlink="">
      <xdr:nvSpPr>
        <xdr:cNvPr id="4" name="Rectangle: Rounded Corners 3">
          <a:extLst>
            <a:ext uri="{FF2B5EF4-FFF2-40B4-BE49-F238E27FC236}">
              <a16:creationId xmlns:a16="http://schemas.microsoft.com/office/drawing/2014/main" id="{B7272047-5223-41CD-B422-9F88001E5B4C}"/>
            </a:ext>
          </a:extLst>
        </xdr:cNvPr>
        <xdr:cNvSpPr/>
      </xdr:nvSpPr>
      <xdr:spPr>
        <a:xfrm>
          <a:off x="558512" y="1162049"/>
          <a:ext cx="1073727" cy="485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266701</xdr:colOff>
      <xdr:row>5</xdr:row>
      <xdr:rowOff>133349</xdr:rowOff>
    </xdr:from>
    <xdr:to>
      <xdr:col>12</xdr:col>
      <xdr:colOff>266701</xdr:colOff>
      <xdr:row>8</xdr:row>
      <xdr:rowOff>47624</xdr:rowOff>
    </xdr:to>
    <xdr:sp macro="" textlink="">
      <xdr:nvSpPr>
        <xdr:cNvPr id="7" name="Rectangle: Rounded Corners 6">
          <a:extLst>
            <a:ext uri="{FF2B5EF4-FFF2-40B4-BE49-F238E27FC236}">
              <a16:creationId xmlns:a16="http://schemas.microsoft.com/office/drawing/2014/main" id="{B1E36844-3198-41A7-A5F2-A47919ABF862}"/>
            </a:ext>
          </a:extLst>
        </xdr:cNvPr>
        <xdr:cNvSpPr/>
      </xdr:nvSpPr>
      <xdr:spPr>
        <a:xfrm>
          <a:off x="6362701" y="1085849"/>
          <a:ext cx="1219200" cy="485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492918</xdr:colOff>
      <xdr:row>5</xdr:row>
      <xdr:rowOff>152401</xdr:rowOff>
    </xdr:from>
    <xdr:to>
      <xdr:col>9</xdr:col>
      <xdr:colOff>492918</xdr:colOff>
      <xdr:row>8</xdr:row>
      <xdr:rowOff>66676</xdr:rowOff>
    </xdr:to>
    <xdr:sp macro="" textlink="">
      <xdr:nvSpPr>
        <xdr:cNvPr id="8" name="Rectangle: Rounded Corners 7">
          <a:extLst>
            <a:ext uri="{FF2B5EF4-FFF2-40B4-BE49-F238E27FC236}">
              <a16:creationId xmlns:a16="http://schemas.microsoft.com/office/drawing/2014/main" id="{18B30249-869C-416D-BB74-DD260DCAB9CA}"/>
            </a:ext>
          </a:extLst>
        </xdr:cNvPr>
        <xdr:cNvSpPr/>
      </xdr:nvSpPr>
      <xdr:spPr>
        <a:xfrm>
          <a:off x="4760118" y="1104901"/>
          <a:ext cx="1219200" cy="485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319088</xdr:colOff>
      <xdr:row>5</xdr:row>
      <xdr:rowOff>180974</xdr:rowOff>
    </xdr:from>
    <xdr:to>
      <xdr:col>7</xdr:col>
      <xdr:colOff>319088</xdr:colOff>
      <xdr:row>8</xdr:row>
      <xdr:rowOff>95249</xdr:rowOff>
    </xdr:to>
    <xdr:sp macro="" textlink="">
      <xdr:nvSpPr>
        <xdr:cNvPr id="9" name="Rectangle: Rounded Corners 8">
          <a:extLst>
            <a:ext uri="{FF2B5EF4-FFF2-40B4-BE49-F238E27FC236}">
              <a16:creationId xmlns:a16="http://schemas.microsoft.com/office/drawing/2014/main" id="{372BDD30-D810-4400-9C7D-7B075C0859BE}"/>
            </a:ext>
          </a:extLst>
        </xdr:cNvPr>
        <xdr:cNvSpPr/>
      </xdr:nvSpPr>
      <xdr:spPr>
        <a:xfrm>
          <a:off x="3367088" y="1133474"/>
          <a:ext cx="1219200" cy="485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83344</xdr:colOff>
      <xdr:row>5</xdr:row>
      <xdr:rowOff>180974</xdr:rowOff>
    </xdr:from>
    <xdr:to>
      <xdr:col>5</xdr:col>
      <xdr:colOff>83344</xdr:colOff>
      <xdr:row>8</xdr:row>
      <xdr:rowOff>95249</xdr:rowOff>
    </xdr:to>
    <xdr:sp macro="" textlink="">
      <xdr:nvSpPr>
        <xdr:cNvPr id="10" name="Rectangle: Rounded Corners 9">
          <a:extLst>
            <a:ext uri="{FF2B5EF4-FFF2-40B4-BE49-F238E27FC236}">
              <a16:creationId xmlns:a16="http://schemas.microsoft.com/office/drawing/2014/main" id="{81BE3939-86A3-4F05-B1B4-FEC7C3A3B321}"/>
            </a:ext>
          </a:extLst>
        </xdr:cNvPr>
        <xdr:cNvSpPr/>
      </xdr:nvSpPr>
      <xdr:spPr>
        <a:xfrm>
          <a:off x="1912144" y="1133474"/>
          <a:ext cx="1219200" cy="4857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495300</xdr:colOff>
      <xdr:row>9</xdr:row>
      <xdr:rowOff>152399</xdr:rowOff>
    </xdr:from>
    <xdr:to>
      <xdr:col>4</xdr:col>
      <xdr:colOff>504825</xdr:colOff>
      <xdr:row>19</xdr:row>
      <xdr:rowOff>161925</xdr:rowOff>
    </xdr:to>
    <xdr:sp macro="" textlink="">
      <xdr:nvSpPr>
        <xdr:cNvPr id="11" name="Rectangle: Rounded Corners 10">
          <a:extLst>
            <a:ext uri="{FF2B5EF4-FFF2-40B4-BE49-F238E27FC236}">
              <a16:creationId xmlns:a16="http://schemas.microsoft.com/office/drawing/2014/main" id="{05832E08-9E32-4A64-9451-7AF19FC7E647}"/>
            </a:ext>
          </a:extLst>
        </xdr:cNvPr>
        <xdr:cNvSpPr/>
      </xdr:nvSpPr>
      <xdr:spPr>
        <a:xfrm>
          <a:off x="495300" y="1866899"/>
          <a:ext cx="2447925" cy="1914526"/>
        </a:xfrm>
        <a:prstGeom prst="roundRect">
          <a:avLst>
            <a:gd name="adj" fmla="val 323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276225</xdr:colOff>
      <xdr:row>9</xdr:row>
      <xdr:rowOff>152399</xdr:rowOff>
    </xdr:from>
    <xdr:to>
      <xdr:col>12</xdr:col>
      <xdr:colOff>266701</xdr:colOff>
      <xdr:row>20</xdr:row>
      <xdr:rowOff>9525</xdr:rowOff>
    </xdr:to>
    <xdr:sp macro="" textlink="">
      <xdr:nvSpPr>
        <xdr:cNvPr id="13" name="Rectangle: Rounded Corners 12">
          <a:extLst>
            <a:ext uri="{FF2B5EF4-FFF2-40B4-BE49-F238E27FC236}">
              <a16:creationId xmlns:a16="http://schemas.microsoft.com/office/drawing/2014/main" id="{CB829A8E-E491-47CE-B6DC-ABF98C70E7B3}"/>
            </a:ext>
          </a:extLst>
        </xdr:cNvPr>
        <xdr:cNvSpPr/>
      </xdr:nvSpPr>
      <xdr:spPr>
        <a:xfrm>
          <a:off x="5762625" y="1866899"/>
          <a:ext cx="1819276" cy="1952626"/>
        </a:xfrm>
        <a:prstGeom prst="roundRect">
          <a:avLst>
            <a:gd name="adj" fmla="val 148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495300</xdr:colOff>
      <xdr:row>20</xdr:row>
      <xdr:rowOff>171449</xdr:rowOff>
    </xdr:from>
    <xdr:to>
      <xdr:col>4</xdr:col>
      <xdr:colOff>504825</xdr:colOff>
      <xdr:row>30</xdr:row>
      <xdr:rowOff>180975</xdr:rowOff>
    </xdr:to>
    <xdr:sp macro="" textlink="">
      <xdr:nvSpPr>
        <xdr:cNvPr id="14" name="Rectangle: Rounded Corners 13">
          <a:extLst>
            <a:ext uri="{FF2B5EF4-FFF2-40B4-BE49-F238E27FC236}">
              <a16:creationId xmlns:a16="http://schemas.microsoft.com/office/drawing/2014/main" id="{01987717-E2B7-4213-8632-0A246E869C92}"/>
            </a:ext>
          </a:extLst>
        </xdr:cNvPr>
        <xdr:cNvSpPr/>
      </xdr:nvSpPr>
      <xdr:spPr>
        <a:xfrm>
          <a:off x="495300" y="3981449"/>
          <a:ext cx="2447925" cy="1914526"/>
        </a:xfrm>
        <a:prstGeom prst="roundRect">
          <a:avLst>
            <a:gd name="adj" fmla="val 223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123824</xdr:colOff>
      <xdr:row>9</xdr:row>
      <xdr:rowOff>152399</xdr:rowOff>
    </xdr:from>
    <xdr:to>
      <xdr:col>9</xdr:col>
      <xdr:colOff>133349</xdr:colOff>
      <xdr:row>19</xdr:row>
      <xdr:rowOff>161925</xdr:rowOff>
    </xdr:to>
    <xdr:sp macro="" textlink="">
      <xdr:nvSpPr>
        <xdr:cNvPr id="15" name="Rectangle: Rounded Corners 14">
          <a:extLst>
            <a:ext uri="{FF2B5EF4-FFF2-40B4-BE49-F238E27FC236}">
              <a16:creationId xmlns:a16="http://schemas.microsoft.com/office/drawing/2014/main" id="{08FD9619-FCF0-4329-BBC4-52BE70AB5169}"/>
            </a:ext>
          </a:extLst>
        </xdr:cNvPr>
        <xdr:cNvSpPr/>
      </xdr:nvSpPr>
      <xdr:spPr>
        <a:xfrm>
          <a:off x="3171824" y="1866899"/>
          <a:ext cx="2447925" cy="1914526"/>
        </a:xfrm>
        <a:prstGeom prst="roundRect">
          <a:avLst>
            <a:gd name="adj" fmla="val 124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123824</xdr:colOff>
      <xdr:row>20</xdr:row>
      <xdr:rowOff>171449</xdr:rowOff>
    </xdr:from>
    <xdr:to>
      <xdr:col>9</xdr:col>
      <xdr:colOff>133349</xdr:colOff>
      <xdr:row>30</xdr:row>
      <xdr:rowOff>180975</xdr:rowOff>
    </xdr:to>
    <xdr:sp macro="" textlink="">
      <xdr:nvSpPr>
        <xdr:cNvPr id="16" name="Rectangle: Rounded Corners 15">
          <a:extLst>
            <a:ext uri="{FF2B5EF4-FFF2-40B4-BE49-F238E27FC236}">
              <a16:creationId xmlns:a16="http://schemas.microsoft.com/office/drawing/2014/main" id="{BE1D99E7-D4B2-499F-97D3-43982CF9D9FB}"/>
            </a:ext>
          </a:extLst>
        </xdr:cNvPr>
        <xdr:cNvSpPr/>
      </xdr:nvSpPr>
      <xdr:spPr>
        <a:xfrm>
          <a:off x="3171824" y="3981449"/>
          <a:ext cx="2447925" cy="1914526"/>
        </a:xfrm>
        <a:prstGeom prst="roundRect">
          <a:avLst>
            <a:gd name="adj" fmla="val 249"/>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276225</xdr:colOff>
      <xdr:row>20</xdr:row>
      <xdr:rowOff>171449</xdr:rowOff>
    </xdr:from>
    <xdr:to>
      <xdr:col>12</xdr:col>
      <xdr:colOff>266701</xdr:colOff>
      <xdr:row>31</xdr:row>
      <xdr:rowOff>28575</xdr:rowOff>
    </xdr:to>
    <xdr:sp macro="" textlink="">
      <xdr:nvSpPr>
        <xdr:cNvPr id="17" name="Rectangle: Rounded Corners 16">
          <a:extLst>
            <a:ext uri="{FF2B5EF4-FFF2-40B4-BE49-F238E27FC236}">
              <a16:creationId xmlns:a16="http://schemas.microsoft.com/office/drawing/2014/main" id="{4D78FAAA-3D67-4876-892C-0DCBF7012A97}"/>
            </a:ext>
          </a:extLst>
        </xdr:cNvPr>
        <xdr:cNvSpPr/>
      </xdr:nvSpPr>
      <xdr:spPr>
        <a:xfrm>
          <a:off x="5762625" y="3981449"/>
          <a:ext cx="1819276" cy="1952626"/>
        </a:xfrm>
        <a:prstGeom prst="roundRect">
          <a:avLst>
            <a:gd name="adj" fmla="val 4102"/>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47625</xdr:colOff>
      <xdr:row>5</xdr:row>
      <xdr:rowOff>152401</xdr:rowOff>
    </xdr:from>
    <xdr:to>
      <xdr:col>2</xdr:col>
      <xdr:colOff>400050</xdr:colOff>
      <xdr:row>7</xdr:row>
      <xdr:rowOff>19051</xdr:rowOff>
    </xdr:to>
    <xdr:sp macro="" textlink="">
      <xdr:nvSpPr>
        <xdr:cNvPr id="19" name="TextBox 18">
          <a:extLst>
            <a:ext uri="{FF2B5EF4-FFF2-40B4-BE49-F238E27FC236}">
              <a16:creationId xmlns:a16="http://schemas.microsoft.com/office/drawing/2014/main" id="{F2E7A037-3595-8A11-26CF-51BE3763CFBE}"/>
            </a:ext>
          </a:extLst>
        </xdr:cNvPr>
        <xdr:cNvSpPr txBox="1"/>
      </xdr:nvSpPr>
      <xdr:spPr>
        <a:xfrm>
          <a:off x="657225" y="1104901"/>
          <a:ext cx="962025" cy="2476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2"/>
              </a:solidFill>
              <a:effectLst/>
              <a:latin typeface="Arial Black" panose="020B0A04020102020204" pitchFamily="34" charset="0"/>
              <a:ea typeface="+mn-ea"/>
              <a:cs typeface="+mn-cs"/>
            </a:rPr>
            <a:t>Revenue</a:t>
          </a:r>
          <a:endParaRPr lang="en-US" sz="1000">
            <a:solidFill>
              <a:schemeClr val="accent2"/>
            </a:solidFill>
            <a:latin typeface="Arial Black" panose="020B0A04020102020204" pitchFamily="34" charset="0"/>
          </a:endParaRPr>
        </a:p>
      </xdr:txBody>
    </xdr:sp>
    <xdr:clientData/>
  </xdr:twoCellAnchor>
  <xdr:oneCellAnchor>
    <xdr:from>
      <xdr:col>14</xdr:col>
      <xdr:colOff>247650</xdr:colOff>
      <xdr:row>4</xdr:row>
      <xdr:rowOff>9525</xdr:rowOff>
    </xdr:from>
    <xdr:ext cx="184731" cy="264560"/>
    <xdr:sp macro="" textlink="">
      <xdr:nvSpPr>
        <xdr:cNvPr id="24" name="TextBox 23">
          <a:extLst>
            <a:ext uri="{FF2B5EF4-FFF2-40B4-BE49-F238E27FC236}">
              <a16:creationId xmlns:a16="http://schemas.microsoft.com/office/drawing/2014/main" id="{050FD7A1-AB5F-3B14-984D-83357EE91625}"/>
            </a:ext>
          </a:extLst>
        </xdr:cNvPr>
        <xdr:cNvSpPr txBox="1"/>
      </xdr:nvSpPr>
      <xdr:spPr>
        <a:xfrm>
          <a:off x="8782050"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164306</xdr:colOff>
      <xdr:row>5</xdr:row>
      <xdr:rowOff>152401</xdr:rowOff>
    </xdr:from>
    <xdr:to>
      <xdr:col>4</xdr:col>
      <xdr:colOff>573881</xdr:colOff>
      <xdr:row>7</xdr:row>
      <xdr:rowOff>19051</xdr:rowOff>
    </xdr:to>
    <xdr:sp macro="" textlink="">
      <xdr:nvSpPr>
        <xdr:cNvPr id="29" name="TextBox 28">
          <a:extLst>
            <a:ext uri="{FF2B5EF4-FFF2-40B4-BE49-F238E27FC236}">
              <a16:creationId xmlns:a16="http://schemas.microsoft.com/office/drawing/2014/main" id="{F43734A9-5715-C71E-85C9-7F4BB2494F9A}"/>
            </a:ext>
          </a:extLst>
        </xdr:cNvPr>
        <xdr:cNvSpPr txBox="1"/>
      </xdr:nvSpPr>
      <xdr:spPr>
        <a:xfrm>
          <a:off x="1993106" y="1104901"/>
          <a:ext cx="10191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2"/>
              </a:solidFill>
              <a:latin typeface="Arial Black" panose="020B0A04020102020204" pitchFamily="34" charset="0"/>
            </a:rPr>
            <a:t>Total</a:t>
          </a:r>
          <a:r>
            <a:rPr lang="en-US" sz="1000" baseline="0">
              <a:solidFill>
                <a:schemeClr val="accent2"/>
              </a:solidFill>
              <a:latin typeface="Arial Black" panose="020B0A04020102020204" pitchFamily="34" charset="0"/>
            </a:rPr>
            <a:t> Cost</a:t>
          </a:r>
        </a:p>
        <a:p>
          <a:endParaRPr lang="en-US" sz="1100"/>
        </a:p>
      </xdr:txBody>
    </xdr:sp>
    <xdr:clientData/>
  </xdr:twoCellAnchor>
  <xdr:twoCellAnchor>
    <xdr:from>
      <xdr:col>5</xdr:col>
      <xdr:colOff>338137</xdr:colOff>
      <xdr:row>5</xdr:row>
      <xdr:rowOff>152401</xdr:rowOff>
    </xdr:from>
    <xdr:to>
      <xdr:col>7</xdr:col>
      <xdr:colOff>119062</xdr:colOff>
      <xdr:row>7</xdr:row>
      <xdr:rowOff>28576</xdr:rowOff>
    </xdr:to>
    <xdr:sp macro="" textlink="">
      <xdr:nvSpPr>
        <xdr:cNvPr id="30" name="TextBox 29">
          <a:extLst>
            <a:ext uri="{FF2B5EF4-FFF2-40B4-BE49-F238E27FC236}">
              <a16:creationId xmlns:a16="http://schemas.microsoft.com/office/drawing/2014/main" id="{CC785F6D-5251-D62F-8868-F51B08F27D05}"/>
            </a:ext>
          </a:extLst>
        </xdr:cNvPr>
        <xdr:cNvSpPr txBox="1"/>
      </xdr:nvSpPr>
      <xdr:spPr>
        <a:xfrm>
          <a:off x="3386137" y="1104901"/>
          <a:ext cx="100012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accent2"/>
              </a:solidFill>
              <a:latin typeface="Arial Black" panose="020B0A04020102020204" pitchFamily="34" charset="0"/>
            </a:rPr>
            <a:t>Profit</a:t>
          </a:r>
        </a:p>
        <a:p>
          <a:endParaRPr lang="en-US" sz="1100"/>
        </a:p>
      </xdr:txBody>
    </xdr:sp>
    <xdr:clientData/>
  </xdr:twoCellAnchor>
  <xdr:twoCellAnchor>
    <xdr:from>
      <xdr:col>8</xdr:col>
      <xdr:colOff>19050</xdr:colOff>
      <xdr:row>5</xdr:row>
      <xdr:rowOff>142875</xdr:rowOff>
    </xdr:from>
    <xdr:to>
      <xdr:col>10</xdr:col>
      <xdr:colOff>57150</xdr:colOff>
      <xdr:row>7</xdr:row>
      <xdr:rowOff>57151</xdr:rowOff>
    </xdr:to>
    <xdr:sp macro="" textlink="">
      <xdr:nvSpPr>
        <xdr:cNvPr id="31" name="TextBox 30">
          <a:extLst>
            <a:ext uri="{FF2B5EF4-FFF2-40B4-BE49-F238E27FC236}">
              <a16:creationId xmlns:a16="http://schemas.microsoft.com/office/drawing/2014/main" id="{E88DF7B8-7B11-1133-95F8-CC3A4649E72D}"/>
            </a:ext>
          </a:extLst>
        </xdr:cNvPr>
        <xdr:cNvSpPr txBox="1"/>
      </xdr:nvSpPr>
      <xdr:spPr>
        <a:xfrm>
          <a:off x="4895850" y="1095375"/>
          <a:ext cx="1257300" cy="295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2"/>
              </a:solidFill>
              <a:latin typeface="Arial Black" panose="020B0A04020102020204" pitchFamily="34" charset="0"/>
            </a:rPr>
            <a:t>Profit</a:t>
          </a:r>
          <a:r>
            <a:rPr lang="en-US" sz="1000" baseline="0">
              <a:solidFill>
                <a:schemeClr val="accent2"/>
              </a:solidFill>
              <a:latin typeface="Arial Black" panose="020B0A04020102020204" pitchFamily="34" charset="0"/>
            </a:rPr>
            <a:t> Margin</a:t>
          </a:r>
          <a:endParaRPr lang="en-US" sz="1000">
            <a:solidFill>
              <a:schemeClr val="accent2"/>
            </a:solidFill>
            <a:latin typeface="Arial Black" panose="020B0A04020102020204" pitchFamily="34" charset="0"/>
          </a:endParaRPr>
        </a:p>
      </xdr:txBody>
    </xdr:sp>
    <xdr:clientData/>
  </xdr:twoCellAnchor>
  <xdr:twoCellAnchor>
    <xdr:from>
      <xdr:col>10</xdr:col>
      <xdr:colOff>257176</xdr:colOff>
      <xdr:row>5</xdr:row>
      <xdr:rowOff>152401</xdr:rowOff>
    </xdr:from>
    <xdr:to>
      <xdr:col>12</xdr:col>
      <xdr:colOff>247650</xdr:colOff>
      <xdr:row>6</xdr:row>
      <xdr:rowOff>171451</xdr:rowOff>
    </xdr:to>
    <xdr:sp macro="" textlink="">
      <xdr:nvSpPr>
        <xdr:cNvPr id="32" name="TextBox 31">
          <a:extLst>
            <a:ext uri="{FF2B5EF4-FFF2-40B4-BE49-F238E27FC236}">
              <a16:creationId xmlns:a16="http://schemas.microsoft.com/office/drawing/2014/main" id="{B1E0DE7C-C9A4-EBAB-CA84-CAF86556C5DA}"/>
            </a:ext>
          </a:extLst>
        </xdr:cNvPr>
        <xdr:cNvSpPr txBox="1"/>
      </xdr:nvSpPr>
      <xdr:spPr>
        <a:xfrm>
          <a:off x="6353176" y="1104901"/>
          <a:ext cx="1209674"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accent2"/>
              </a:solidFill>
              <a:latin typeface="Arial Black" panose="020B0A04020102020204" pitchFamily="34" charset="0"/>
            </a:rPr>
            <a:t>Quantity Sold</a:t>
          </a:r>
        </a:p>
      </xdr:txBody>
    </xdr:sp>
    <xdr:clientData/>
  </xdr:twoCellAnchor>
  <xdr:twoCellAnchor>
    <xdr:from>
      <xdr:col>4</xdr:col>
      <xdr:colOff>447675</xdr:colOff>
      <xdr:row>2</xdr:row>
      <xdr:rowOff>161925</xdr:rowOff>
    </xdr:from>
    <xdr:to>
      <xdr:col>9</xdr:col>
      <xdr:colOff>38100</xdr:colOff>
      <xdr:row>4</xdr:row>
      <xdr:rowOff>85725</xdr:rowOff>
    </xdr:to>
    <xdr:sp macro="" textlink="">
      <xdr:nvSpPr>
        <xdr:cNvPr id="36" name="TextBox 35">
          <a:extLst>
            <a:ext uri="{FF2B5EF4-FFF2-40B4-BE49-F238E27FC236}">
              <a16:creationId xmlns:a16="http://schemas.microsoft.com/office/drawing/2014/main" id="{667AE170-14C8-D2E4-A271-3E12493A8B8F}"/>
            </a:ext>
          </a:extLst>
        </xdr:cNvPr>
        <xdr:cNvSpPr txBox="1"/>
      </xdr:nvSpPr>
      <xdr:spPr>
        <a:xfrm>
          <a:off x="2886075" y="542925"/>
          <a:ext cx="2638425" cy="304800"/>
        </a:xfrm>
        <a:prstGeom prst="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l"/>
          <a:r>
            <a:rPr lang="en-US" sz="1200"/>
            <a:t>SHOE</a:t>
          </a:r>
          <a:r>
            <a:rPr lang="en-US" sz="1200" baseline="0"/>
            <a:t> SALES PERFORMANCE REPORT</a:t>
          </a:r>
          <a:endParaRPr lang="en-US" sz="1200"/>
        </a:p>
      </xdr:txBody>
    </xdr:sp>
    <xdr:clientData/>
  </xdr:twoCellAnchor>
  <xdr:twoCellAnchor>
    <xdr:from>
      <xdr:col>1</xdr:col>
      <xdr:colOff>66675</xdr:colOff>
      <xdr:row>7</xdr:row>
      <xdr:rowOff>38099</xdr:rowOff>
    </xdr:from>
    <xdr:to>
      <xdr:col>2</xdr:col>
      <xdr:colOff>438150</xdr:colOff>
      <xdr:row>8</xdr:row>
      <xdr:rowOff>85724</xdr:rowOff>
    </xdr:to>
    <xdr:sp macro="" textlink="PivotTables!B4">
      <xdr:nvSpPr>
        <xdr:cNvPr id="39" name="TextBox 38">
          <a:extLst>
            <a:ext uri="{FF2B5EF4-FFF2-40B4-BE49-F238E27FC236}">
              <a16:creationId xmlns:a16="http://schemas.microsoft.com/office/drawing/2014/main" id="{96E8DACD-FB63-828E-5448-92137B715EB3}"/>
            </a:ext>
          </a:extLst>
        </xdr:cNvPr>
        <xdr:cNvSpPr txBox="1"/>
      </xdr:nvSpPr>
      <xdr:spPr>
        <a:xfrm>
          <a:off x="676275" y="1371599"/>
          <a:ext cx="9810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7E91B1-633A-4112-91F7-DD163AFB16C7}" type="TxLink">
            <a:rPr lang="en-US" sz="1200" b="1" i="0" u="none" strike="noStrike">
              <a:solidFill>
                <a:schemeClr val="accent2"/>
              </a:solidFill>
              <a:latin typeface="Arial Black" panose="020B0A04020102020204" pitchFamily="34" charset="0"/>
              <a:ea typeface="Calibri"/>
              <a:cs typeface="Calibri"/>
            </a:rPr>
            <a:pPr algn="ctr"/>
            <a:t>$355,048 </a:t>
          </a:fld>
          <a:endParaRPr lang="en-US" sz="1200" b="1">
            <a:solidFill>
              <a:schemeClr val="accent2"/>
            </a:solidFill>
            <a:latin typeface="Arial Black" panose="020B0A04020102020204" pitchFamily="34" charset="0"/>
          </a:endParaRPr>
        </a:p>
      </xdr:txBody>
    </xdr:sp>
    <xdr:clientData/>
  </xdr:twoCellAnchor>
  <xdr:twoCellAnchor>
    <xdr:from>
      <xdr:col>3</xdr:col>
      <xdr:colOff>228600</xdr:colOff>
      <xdr:row>7</xdr:row>
      <xdr:rowOff>28576</xdr:rowOff>
    </xdr:from>
    <xdr:to>
      <xdr:col>4</xdr:col>
      <xdr:colOff>571500</xdr:colOff>
      <xdr:row>8</xdr:row>
      <xdr:rowOff>66676</xdr:rowOff>
    </xdr:to>
    <xdr:sp macro="" textlink="PivotTables!C4">
      <xdr:nvSpPr>
        <xdr:cNvPr id="40" name="TextBox 39">
          <a:extLst>
            <a:ext uri="{FF2B5EF4-FFF2-40B4-BE49-F238E27FC236}">
              <a16:creationId xmlns:a16="http://schemas.microsoft.com/office/drawing/2014/main" id="{AD91ACA2-CE20-7101-5C82-B04A0447D6BC}"/>
            </a:ext>
          </a:extLst>
        </xdr:cNvPr>
        <xdr:cNvSpPr txBox="1"/>
      </xdr:nvSpPr>
      <xdr:spPr>
        <a:xfrm>
          <a:off x="2057400" y="1362076"/>
          <a:ext cx="9525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B3EC02-257C-48E0-A6A9-4202DBD1E001}" type="TxLink">
            <a:rPr lang="en-US" sz="1200" b="1" i="0" u="none" strike="noStrike">
              <a:solidFill>
                <a:schemeClr val="accent2"/>
              </a:solidFill>
              <a:latin typeface="Arial Black" panose="020B0A04020102020204" pitchFamily="34" charset="0"/>
              <a:ea typeface="Calibri"/>
              <a:cs typeface="Calibri"/>
            </a:rPr>
            <a:pPr algn="ctr"/>
            <a:t>$192,713 </a:t>
          </a:fld>
          <a:endParaRPr lang="en-US" sz="1200" b="1">
            <a:solidFill>
              <a:schemeClr val="accent2"/>
            </a:solidFill>
            <a:latin typeface="Arial Black" panose="020B0A04020102020204" pitchFamily="34" charset="0"/>
          </a:endParaRPr>
        </a:p>
      </xdr:txBody>
    </xdr:sp>
    <xdr:clientData/>
  </xdr:twoCellAnchor>
  <xdr:twoCellAnchor>
    <xdr:from>
      <xdr:col>5</xdr:col>
      <xdr:colOff>419100</xdr:colOff>
      <xdr:row>7</xdr:row>
      <xdr:rowOff>9525</xdr:rowOff>
    </xdr:from>
    <xdr:to>
      <xdr:col>7</xdr:col>
      <xdr:colOff>304800</xdr:colOff>
      <xdr:row>8</xdr:row>
      <xdr:rowOff>57150</xdr:rowOff>
    </xdr:to>
    <xdr:sp macro="" textlink="PivotTables!D4">
      <xdr:nvSpPr>
        <xdr:cNvPr id="41" name="TextBox 40">
          <a:extLst>
            <a:ext uri="{FF2B5EF4-FFF2-40B4-BE49-F238E27FC236}">
              <a16:creationId xmlns:a16="http://schemas.microsoft.com/office/drawing/2014/main" id="{7FA89165-21F3-6993-3C26-88CFE07173DB}"/>
            </a:ext>
          </a:extLst>
        </xdr:cNvPr>
        <xdr:cNvSpPr txBox="1"/>
      </xdr:nvSpPr>
      <xdr:spPr>
        <a:xfrm>
          <a:off x="3467100" y="1343025"/>
          <a:ext cx="11049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388880-E79D-472A-B16F-2B890482C667}" type="TxLink">
            <a:rPr lang="en-US" sz="1200" b="1" i="0" u="none" strike="noStrike">
              <a:solidFill>
                <a:schemeClr val="accent2"/>
              </a:solidFill>
              <a:latin typeface="Arial Black" panose="020B0A04020102020204" pitchFamily="34" charset="0"/>
              <a:ea typeface="Calibri"/>
              <a:cs typeface="Calibri"/>
            </a:rPr>
            <a:pPr algn="ctr"/>
            <a:t>$162,335 </a:t>
          </a:fld>
          <a:endParaRPr lang="en-US" sz="1200" b="1">
            <a:solidFill>
              <a:schemeClr val="accent2"/>
            </a:solidFill>
            <a:latin typeface="Arial Black" panose="020B0A04020102020204" pitchFamily="34" charset="0"/>
          </a:endParaRPr>
        </a:p>
      </xdr:txBody>
    </xdr:sp>
    <xdr:clientData/>
  </xdr:twoCellAnchor>
  <xdr:twoCellAnchor>
    <xdr:from>
      <xdr:col>8</xdr:col>
      <xdr:colOff>133350</xdr:colOff>
      <xdr:row>6</xdr:row>
      <xdr:rowOff>180976</xdr:rowOff>
    </xdr:from>
    <xdr:to>
      <xdr:col>10</xdr:col>
      <xdr:colOff>0</xdr:colOff>
      <xdr:row>8</xdr:row>
      <xdr:rowOff>95250</xdr:rowOff>
    </xdr:to>
    <xdr:sp macro="" textlink="PivotTables!E4">
      <xdr:nvSpPr>
        <xdr:cNvPr id="42" name="TextBox 41">
          <a:extLst>
            <a:ext uri="{FF2B5EF4-FFF2-40B4-BE49-F238E27FC236}">
              <a16:creationId xmlns:a16="http://schemas.microsoft.com/office/drawing/2014/main" id="{1EFD65B3-560A-2F6C-7BAA-7AA3808180A4}"/>
            </a:ext>
          </a:extLst>
        </xdr:cNvPr>
        <xdr:cNvSpPr txBox="1"/>
      </xdr:nvSpPr>
      <xdr:spPr>
        <a:xfrm>
          <a:off x="5010150" y="1323976"/>
          <a:ext cx="1085850" cy="29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CFBA71-74D8-4650-911B-D88250FFD964}" type="TxLink">
            <a:rPr lang="en-US" sz="1200" b="1" i="0" u="none" strike="noStrike">
              <a:solidFill>
                <a:schemeClr val="accent2"/>
              </a:solidFill>
              <a:latin typeface="Arial Black" panose="020B0A04020102020204" pitchFamily="34" charset="0"/>
              <a:ea typeface="Calibri"/>
              <a:cs typeface="Calibri"/>
            </a:rPr>
            <a:pPr algn="ctr"/>
            <a:t>47%</a:t>
          </a:fld>
          <a:endParaRPr lang="en-US" sz="1200" b="1">
            <a:solidFill>
              <a:schemeClr val="accent2"/>
            </a:solidFill>
            <a:latin typeface="Arial Black" panose="020B0A04020102020204" pitchFamily="34" charset="0"/>
          </a:endParaRPr>
        </a:p>
      </xdr:txBody>
    </xdr:sp>
    <xdr:clientData/>
  </xdr:twoCellAnchor>
  <xdr:twoCellAnchor>
    <xdr:from>
      <xdr:col>10</xdr:col>
      <xdr:colOff>400050</xdr:colOff>
      <xdr:row>7</xdr:row>
      <xdr:rowOff>28575</xdr:rowOff>
    </xdr:from>
    <xdr:to>
      <xdr:col>12</xdr:col>
      <xdr:colOff>0</xdr:colOff>
      <xdr:row>8</xdr:row>
      <xdr:rowOff>66675</xdr:rowOff>
    </xdr:to>
    <xdr:sp macro="" textlink="PivotTables!F4">
      <xdr:nvSpPr>
        <xdr:cNvPr id="43" name="TextBox 42">
          <a:extLst>
            <a:ext uri="{FF2B5EF4-FFF2-40B4-BE49-F238E27FC236}">
              <a16:creationId xmlns:a16="http://schemas.microsoft.com/office/drawing/2014/main" id="{4B1E562E-B141-479E-D182-F554143E692B}"/>
            </a:ext>
          </a:extLst>
        </xdr:cNvPr>
        <xdr:cNvSpPr txBox="1"/>
      </xdr:nvSpPr>
      <xdr:spPr>
        <a:xfrm>
          <a:off x="6496050" y="1362075"/>
          <a:ext cx="8191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720D07-1468-49BC-B733-9848EB19B1EE}" type="TxLink">
            <a:rPr lang="en-US" sz="1200" b="1" i="0" u="none" strike="noStrike">
              <a:solidFill>
                <a:schemeClr val="accent2"/>
              </a:solidFill>
              <a:latin typeface="Arial Black" panose="020B0A04020102020204" pitchFamily="34" charset="0"/>
              <a:ea typeface="Calibri"/>
              <a:cs typeface="Calibri"/>
            </a:rPr>
            <a:pPr algn="ctr"/>
            <a:t> 4,012 </a:t>
          </a:fld>
          <a:endParaRPr lang="en-US" sz="1200" b="1">
            <a:solidFill>
              <a:schemeClr val="accent2"/>
            </a:solidFill>
            <a:latin typeface="Arial Black" panose="020B0A04020102020204" pitchFamily="34" charset="0"/>
          </a:endParaRPr>
        </a:p>
      </xdr:txBody>
    </xdr:sp>
    <xdr:clientData/>
  </xdr:twoCellAnchor>
  <xdr:twoCellAnchor>
    <xdr:from>
      <xdr:col>5</xdr:col>
      <xdr:colOff>171449</xdr:colOff>
      <xdr:row>11</xdr:row>
      <xdr:rowOff>85724</xdr:rowOff>
    </xdr:from>
    <xdr:to>
      <xdr:col>9</xdr:col>
      <xdr:colOff>209551</xdr:colOff>
      <xdr:row>21</xdr:row>
      <xdr:rowOff>28575</xdr:rowOff>
    </xdr:to>
    <xdr:graphicFrame macro="">
      <xdr:nvGraphicFramePr>
        <xdr:cNvPr id="45" name="Chart 44">
          <a:extLst>
            <a:ext uri="{FF2B5EF4-FFF2-40B4-BE49-F238E27FC236}">
              <a16:creationId xmlns:a16="http://schemas.microsoft.com/office/drawing/2014/main" id="{6BCE68E4-34DA-4D11-90AD-EB6E77F14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314325</xdr:colOff>
      <xdr:row>11</xdr:row>
      <xdr:rowOff>76199</xdr:rowOff>
    </xdr:from>
    <xdr:to>
      <xdr:col>12</xdr:col>
      <xdr:colOff>333375</xdr:colOff>
      <xdr:row>21</xdr:row>
      <xdr:rowOff>28574</xdr:rowOff>
    </xdr:to>
    <xdr:graphicFrame macro="">
      <xdr:nvGraphicFramePr>
        <xdr:cNvPr id="46" name="Chart 45">
          <a:extLst>
            <a:ext uri="{FF2B5EF4-FFF2-40B4-BE49-F238E27FC236}">
              <a16:creationId xmlns:a16="http://schemas.microsoft.com/office/drawing/2014/main" id="{139C3FC0-A41F-4B3F-B2BF-9E6A8287D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33338</xdr:colOff>
      <xdr:row>21</xdr:row>
      <xdr:rowOff>190499</xdr:rowOff>
    </xdr:from>
    <xdr:to>
      <xdr:col>9</xdr:col>
      <xdr:colOff>176213</xdr:colOff>
      <xdr:row>31</xdr:row>
      <xdr:rowOff>101599</xdr:rowOff>
    </xdr:to>
    <xdr:graphicFrame macro="">
      <xdr:nvGraphicFramePr>
        <xdr:cNvPr id="47" name="Chart 46">
          <a:extLst>
            <a:ext uri="{FF2B5EF4-FFF2-40B4-BE49-F238E27FC236}">
              <a16:creationId xmlns:a16="http://schemas.microsoft.com/office/drawing/2014/main" id="{8C4D9152-03A0-4A1C-B324-82705CDE7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304801</xdr:colOff>
      <xdr:row>22</xdr:row>
      <xdr:rowOff>0</xdr:rowOff>
    </xdr:from>
    <xdr:to>
      <xdr:col>12</xdr:col>
      <xdr:colOff>333375</xdr:colOff>
      <xdr:row>31</xdr:row>
      <xdr:rowOff>114301</xdr:rowOff>
    </xdr:to>
    <xdr:graphicFrame macro="">
      <xdr:nvGraphicFramePr>
        <xdr:cNvPr id="49" name="Chart 48">
          <a:extLst>
            <a:ext uri="{FF2B5EF4-FFF2-40B4-BE49-F238E27FC236}">
              <a16:creationId xmlns:a16="http://schemas.microsoft.com/office/drawing/2014/main" id="{87A7BA41-EDF8-4A31-8D98-3BEAFA22B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104776</xdr:colOff>
      <xdr:row>8</xdr:row>
      <xdr:rowOff>180975</xdr:rowOff>
    </xdr:from>
    <xdr:to>
      <xdr:col>9</xdr:col>
      <xdr:colOff>123826</xdr:colOff>
      <xdr:row>11</xdr:row>
      <xdr:rowOff>9524</xdr:rowOff>
    </xdr:to>
    <mc:AlternateContent xmlns:mc="http://schemas.openxmlformats.org/markup-compatibility/2006" xmlns:a14="http://schemas.microsoft.com/office/drawing/2010/main">
      <mc:Choice Requires="a14">
        <xdr:graphicFrame macro="">
          <xdr:nvGraphicFramePr>
            <xdr:cNvPr id="50" name="Category 1">
              <a:extLst>
                <a:ext uri="{FF2B5EF4-FFF2-40B4-BE49-F238E27FC236}">
                  <a16:creationId xmlns:a16="http://schemas.microsoft.com/office/drawing/2014/main" id="{B029A69B-52D8-4127-9C17-75556AF4D23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43176" y="1704975"/>
              <a:ext cx="3067050" cy="400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409575</xdr:colOff>
      <xdr:row>11</xdr:row>
      <xdr:rowOff>66675</xdr:rowOff>
    </xdr:from>
    <xdr:to>
      <xdr:col>5</xdr:col>
      <xdr:colOff>57150</xdr:colOff>
      <xdr:row>21</xdr:row>
      <xdr:rowOff>28575</xdr:rowOff>
    </xdr:to>
    <xdr:graphicFrame macro="">
      <xdr:nvGraphicFramePr>
        <xdr:cNvPr id="5" name="Chart 4">
          <a:extLst>
            <a:ext uri="{FF2B5EF4-FFF2-40B4-BE49-F238E27FC236}">
              <a16:creationId xmlns:a16="http://schemas.microsoft.com/office/drawing/2014/main" id="{5CBA6872-830C-47B8-865B-8F7E29D89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409575</xdr:colOff>
      <xdr:row>22</xdr:row>
      <xdr:rowOff>9525</xdr:rowOff>
    </xdr:from>
    <xdr:to>
      <xdr:col>4</xdr:col>
      <xdr:colOff>533400</xdr:colOff>
      <xdr:row>31</xdr:row>
      <xdr:rowOff>104775</xdr:rowOff>
    </xdr:to>
    <xdr:graphicFrame macro="">
      <xdr:nvGraphicFramePr>
        <xdr:cNvPr id="6" name="Chart 5">
          <a:extLst>
            <a:ext uri="{FF2B5EF4-FFF2-40B4-BE49-F238E27FC236}">
              <a16:creationId xmlns:a16="http://schemas.microsoft.com/office/drawing/2014/main" id="{136FB1D1-2D1A-448F-94DA-B74B8CFA9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76.867907870372" createdVersion="8" refreshedVersion="8" minRefreshableVersion="3" recordCount="500" xr:uid="{FF8F56C0-12DF-422D-AD62-795932A2FA83}">
  <cacheSource type="worksheet">
    <worksheetSource name="ShoeSales"/>
  </cacheSource>
  <cacheFields count="16">
    <cacheField name="Date" numFmtId="165">
      <sharedItems containsSemiMixedTypes="0" containsNonDate="0" containsDate="1" containsString="0" minDate="2026-01-01T00:00:00" maxDate="2026-08-15T00:00:00" count="203">
        <d v="2026-05-19T00:00:00"/>
        <d v="2026-06-26T00:00:00"/>
        <d v="2026-05-30T00:00:00"/>
        <d v="2026-07-11T00:00:00"/>
        <d v="2026-04-18T00:00:00"/>
        <d v="2026-03-12T00:00:00"/>
        <d v="2026-06-18T00:00:00"/>
        <d v="2026-07-09T00:00:00"/>
        <d v="2026-01-16T00:00:00"/>
        <d v="2026-06-09T00:00:00"/>
        <d v="2026-04-20T00:00:00"/>
        <d v="2026-03-16T00:00:00"/>
        <d v="2026-05-04T00:00:00"/>
        <d v="2026-01-09T00:00:00"/>
        <d v="2026-07-23T00:00:00"/>
        <d v="2026-04-13T00:00:00"/>
        <d v="2026-05-20T00:00:00"/>
        <d v="2026-03-31T00:00:00"/>
        <d v="2026-05-05T00:00:00"/>
        <d v="2026-08-07T00:00:00"/>
        <d v="2026-07-14T00:00:00"/>
        <d v="2026-01-12T00:00:00"/>
        <d v="2026-01-28T00:00:00"/>
        <d v="2026-01-13T00:00:00"/>
        <d v="2026-03-13T00:00:00"/>
        <d v="2026-03-10T00:00:00"/>
        <d v="2026-04-30T00:00:00"/>
        <d v="2026-02-15T00:00:00"/>
        <d v="2026-07-16T00:00:00"/>
        <d v="2026-06-12T00:00:00"/>
        <d v="2026-08-02T00:00:00"/>
        <d v="2026-03-30T00:00:00"/>
        <d v="2026-07-25T00:00:00"/>
        <d v="2026-06-03T00:00:00"/>
        <d v="2026-03-09T00:00:00"/>
        <d v="2026-02-19T00:00:00"/>
        <d v="2026-07-17T00:00:00"/>
        <d v="2026-04-15T00:00:00"/>
        <d v="2026-04-19T00:00:00"/>
        <d v="2026-05-23T00:00:00"/>
        <d v="2026-08-03T00:00:00"/>
        <d v="2026-03-05T00:00:00"/>
        <d v="2026-03-29T00:00:00"/>
        <d v="2026-06-27T00:00:00"/>
        <d v="2026-08-06T00:00:00"/>
        <d v="2026-01-29T00:00:00"/>
        <d v="2026-02-16T00:00:00"/>
        <d v="2026-03-28T00:00:00"/>
        <d v="2026-04-02T00:00:00"/>
        <d v="2026-06-02T00:00:00"/>
        <d v="2026-01-23T00:00:00"/>
        <d v="2026-07-27T00:00:00"/>
        <d v="2026-06-23T00:00:00"/>
        <d v="2026-04-09T00:00:00"/>
        <d v="2026-06-21T00:00:00"/>
        <d v="2026-02-28T00:00:00"/>
        <d v="2026-06-24T00:00:00"/>
        <d v="2026-04-12T00:00:00"/>
        <d v="2026-01-06T00:00:00"/>
        <d v="2026-06-06T00:00:00"/>
        <d v="2026-03-04T00:00:00"/>
        <d v="2026-07-10T00:00:00"/>
        <d v="2026-03-08T00:00:00"/>
        <d v="2026-06-01T00:00:00"/>
        <d v="2026-02-24T00:00:00"/>
        <d v="2026-05-06T00:00:00"/>
        <d v="2026-02-05T00:00:00"/>
        <d v="2026-03-03T00:00:00"/>
        <d v="2026-04-21T00:00:00"/>
        <d v="2026-04-05T00:00:00"/>
        <d v="2026-01-19T00:00:00"/>
        <d v="2026-06-14T00:00:00"/>
        <d v="2026-05-02T00:00:00"/>
        <d v="2026-02-04T00:00:00"/>
        <d v="2026-02-14T00:00:00"/>
        <d v="2026-03-18T00:00:00"/>
        <d v="2026-07-01T00:00:00"/>
        <d v="2026-08-12T00:00:00"/>
        <d v="2026-01-11T00:00:00"/>
        <d v="2026-06-30T00:00:00"/>
        <d v="2026-01-22T00:00:00"/>
        <d v="2026-07-20T00:00:00"/>
        <d v="2026-04-06T00:00:00"/>
        <d v="2026-03-20T00:00:00"/>
        <d v="2026-07-13T00:00:00"/>
        <d v="2026-01-18T00:00:00"/>
        <d v="2026-02-21T00:00:00"/>
        <d v="2026-06-20T00:00:00"/>
        <d v="2026-04-25T00:00:00"/>
        <d v="2026-05-12T00:00:00"/>
        <d v="2026-02-22T00:00:00"/>
        <d v="2026-08-14T00:00:00"/>
        <d v="2026-01-27T00:00:00"/>
        <d v="2026-06-17T00:00:00"/>
        <d v="2026-07-02T00:00:00"/>
        <d v="2026-02-03T00:00:00"/>
        <d v="2026-07-19T00:00:00"/>
        <d v="2026-07-07T00:00:00"/>
        <d v="2026-02-12T00:00:00"/>
        <d v="2026-01-03T00:00:00"/>
        <d v="2026-05-21T00:00:00"/>
        <d v="2026-07-30T00:00:00"/>
        <d v="2026-05-31T00:00:00"/>
        <d v="2026-05-14T00:00:00"/>
        <d v="2026-08-10T00:00:00"/>
        <d v="2026-07-26T00:00:00"/>
        <d v="2026-02-07T00:00:00"/>
        <d v="2026-05-24T00:00:00"/>
        <d v="2026-03-11T00:00:00"/>
        <d v="2026-01-02T00:00:00"/>
        <d v="2026-03-25T00:00:00"/>
        <d v="2026-07-15T00:00:00"/>
        <d v="2026-04-28T00:00:00"/>
        <d v="2026-06-25T00:00:00"/>
        <d v="2026-04-08T00:00:00"/>
        <d v="2026-04-11T00:00:00"/>
        <d v="2026-01-04T00:00:00"/>
        <d v="2026-05-11T00:00:00"/>
        <d v="2026-07-08T00:00:00"/>
        <d v="2026-08-05T00:00:00"/>
        <d v="2026-01-17T00:00:00"/>
        <d v="2026-03-24T00:00:00"/>
        <d v="2026-07-18T00:00:00"/>
        <d v="2026-02-01T00:00:00"/>
        <d v="2026-01-25T00:00:00"/>
        <d v="2026-03-27T00:00:00"/>
        <d v="2026-01-24T00:00:00"/>
        <d v="2026-04-07T00:00:00"/>
        <d v="2026-05-08T00:00:00"/>
        <d v="2026-06-08T00:00:00"/>
        <d v="2026-02-08T00:00:00"/>
        <d v="2026-02-27T00:00:00"/>
        <d v="2026-05-09T00:00:00"/>
        <d v="2026-03-02T00:00:00"/>
        <d v="2026-08-11T00:00:00"/>
        <d v="2026-01-30T00:00:00"/>
        <d v="2026-04-29T00:00:00"/>
        <d v="2026-01-15T00:00:00"/>
        <d v="2026-05-15T00:00:00"/>
        <d v="2026-01-01T00:00:00"/>
        <d v="2026-05-29T00:00:00"/>
        <d v="2026-02-13T00:00:00"/>
        <d v="2026-07-21T00:00:00"/>
        <d v="2026-04-10T00:00:00"/>
        <d v="2026-06-07T00:00:00"/>
        <d v="2026-05-25T00:00:00"/>
        <d v="2026-05-10T00:00:00"/>
        <d v="2026-02-18T00:00:00"/>
        <d v="2026-04-14T00:00:00"/>
        <d v="2026-01-31T00:00:00"/>
        <d v="2026-03-17T00:00:00"/>
        <d v="2026-06-16T00:00:00"/>
        <d v="2026-07-24T00:00:00"/>
        <d v="2026-05-27T00:00:00"/>
        <d v="2026-08-01T00:00:00"/>
        <d v="2026-06-05T00:00:00"/>
        <d v="2026-07-05T00:00:00"/>
        <d v="2026-05-26T00:00:00"/>
        <d v="2026-02-06T00:00:00"/>
        <d v="2026-03-07T00:00:00"/>
        <d v="2026-01-10T00:00:00"/>
        <d v="2026-04-26T00:00:00"/>
        <d v="2026-02-20T00:00:00"/>
        <d v="2026-02-23T00:00:00"/>
        <d v="2026-06-04T00:00:00"/>
        <d v="2026-05-07T00:00:00"/>
        <d v="2026-02-17T00:00:00"/>
        <d v="2026-03-22T00:00:00"/>
        <d v="2026-06-19T00:00:00"/>
        <d v="2026-03-15T00:00:00"/>
        <d v="2026-06-15T00:00:00"/>
        <d v="2026-04-16T00:00:00"/>
        <d v="2026-01-20T00:00:00"/>
        <d v="2026-01-08T00:00:00"/>
        <d v="2026-02-25T00:00:00"/>
        <d v="2026-06-10T00:00:00"/>
        <d v="2026-06-28T00:00:00"/>
        <d v="2026-04-17T00:00:00"/>
        <d v="2026-08-08T00:00:00"/>
        <d v="2026-05-17T00:00:00"/>
        <d v="2026-07-28T00:00:00"/>
        <d v="2026-03-06T00:00:00"/>
        <d v="2026-05-28T00:00:00"/>
        <d v="2026-02-09T00:00:00"/>
        <d v="2026-01-21T00:00:00"/>
        <d v="2026-03-26T00:00:00"/>
        <d v="2026-01-07T00:00:00"/>
        <d v="2026-04-22T00:00:00"/>
        <d v="2026-05-13T00:00:00"/>
        <d v="2026-06-29T00:00:00"/>
        <d v="2026-07-06T00:00:00"/>
        <d v="2026-08-13T00:00:00"/>
        <d v="2026-07-04T00:00:00"/>
        <d v="2026-07-12T00:00:00"/>
        <d v="2026-08-04T00:00:00"/>
        <d v="2026-05-18T00:00:00"/>
        <d v="2026-01-26T00:00:00"/>
        <d v="2026-07-31T00:00:00"/>
        <d v="2026-05-03T00:00:00"/>
        <d v="2026-03-14T00:00:00"/>
        <d v="2026-02-11T00:00:00"/>
        <d v="2026-02-26T00:00:00"/>
        <d v="2026-06-11T00:00:00"/>
      </sharedItems>
      <fieldGroup par="15"/>
    </cacheField>
    <cacheField name="Product" numFmtId="49">
      <sharedItems count="8">
        <s v="Monk Straps"/>
        <s v="Loafers"/>
        <s v="Derby"/>
        <s v="Boots"/>
        <s v="Canvas"/>
        <s v="Oxford"/>
        <s v="Brogues"/>
        <s v="Slippers"/>
      </sharedItems>
    </cacheField>
    <cacheField name="Category" numFmtId="49">
      <sharedItems count="4">
        <s v="Formal"/>
        <s v="Utility"/>
        <s v="Casual"/>
        <s v="Open"/>
      </sharedItems>
    </cacheField>
    <cacheField name="Color" numFmtId="49">
      <sharedItems/>
    </cacheField>
    <cacheField name="Brand" numFmtId="49">
      <sharedItems count="5">
        <s v="Nike"/>
        <s v="Clarks"/>
        <s v="Timberland"/>
        <s v="Zara"/>
        <s v="Steve Madden"/>
      </sharedItems>
    </cacheField>
    <cacheField name="Country" numFmtId="49">
      <sharedItems count="14">
        <s v="Uganda"/>
        <s v="Nigeria"/>
        <s v="Canada"/>
        <s v="UK"/>
        <s v="Ghana"/>
        <s v="USA"/>
        <s v="Australia"/>
        <s v="Cyprus"/>
        <s v="India"/>
        <s v="Germany"/>
        <s v="Philippines"/>
        <s v="Zimbabwe"/>
        <s v="Albania"/>
        <s v="Kenya"/>
      </sharedItems>
    </cacheField>
    <cacheField name="Quantity" numFmtId="1">
      <sharedItems containsSemiMixedTypes="0" containsString="0" containsNumber="1" containsInteger="1" minValue="1" maxValue="15"/>
    </cacheField>
    <cacheField name="Payment Type" numFmtId="49">
      <sharedItems count="4">
        <s v="Bank Transfer"/>
        <s v="Card"/>
        <s v="Cash"/>
        <s v="Mobile Money"/>
      </sharedItems>
    </cacheField>
    <cacheField name="Unit_price" numFmtId="1">
      <sharedItems containsSemiMixedTypes="0" containsString="0" containsNumber="1" containsInteger="1" minValue="32" maxValue="128"/>
    </cacheField>
    <cacheField name="Unit_cost" numFmtId="1">
      <sharedItems containsSemiMixedTypes="0" containsString="0" containsNumber="1" containsInteger="1" minValue="14" maxValue="72"/>
    </cacheField>
    <cacheField name="Revenue" numFmtId="1">
      <sharedItems containsSemiMixedTypes="0" containsString="0" containsNumber="1" containsInteger="1" minValue="32" maxValue="1920"/>
    </cacheField>
    <cacheField name="Total_cost" numFmtId="1">
      <sharedItems containsSemiMixedTypes="0" containsString="0" containsNumber="1" containsInteger="1" minValue="14" maxValue="1080"/>
    </cacheField>
    <cacheField name="Profit" numFmtId="1">
      <sharedItems containsSemiMixedTypes="0" containsString="0" containsNumber="1" containsInteger="1" minValue="18" maxValue="840"/>
    </cacheField>
    <cacheField name="Profit-margin" numFmtId="9">
      <sharedItems containsSemiMixedTypes="0" containsString="0" containsNumber="1" minValue="0.42857142857142855" maxValue="0.5625"/>
    </cacheField>
    <cacheField name="Days (Date)" numFmtId="0" databaseField="0">
      <fieldGroup base="0">
        <rangePr groupBy="days" startDate="2026-01-01T00:00:00" endDate="2026-08-15T00:00:00"/>
        <groupItems count="368">
          <s v="&lt;1 01 2026"/>
          <s v="1 Jan"/>
          <s v="2 Jan"/>
          <s v="3 Jan"/>
          <s v="4 Jan"/>
          <s v="5 Jan"/>
          <s v="6 Jan"/>
          <s v="7 Jan"/>
          <s v="8 Jan"/>
          <s v="9 Jan"/>
          <s v="10 Jan"/>
          <s v="11 Jan"/>
          <s v="12 Jan"/>
          <s v="13 Jan"/>
          <s v="14 Jan"/>
          <s v="15 Jan"/>
          <s v="16 Jan"/>
          <s v="17 Jan"/>
          <s v="18 Jan"/>
          <s v="19 Jan"/>
          <s v="20 Jan"/>
          <s v="21 Jan"/>
          <s v="22 Jan"/>
          <s v="23 Jan"/>
          <s v="24 Jan"/>
          <s v="25 Jan"/>
          <s v="26 Jan"/>
          <s v="27 Jan"/>
          <s v="28 Jan"/>
          <s v="29 Jan"/>
          <s v="30 Jan"/>
          <s v="31 Jan"/>
          <s v="1 Feb"/>
          <s v="2 Feb"/>
          <s v="3 Feb"/>
          <s v="4 Feb"/>
          <s v="5 Feb"/>
          <s v="6 Feb"/>
          <s v="7 Feb"/>
          <s v="8 Feb"/>
          <s v="9 Feb"/>
          <s v="10 Feb"/>
          <s v="11 Feb"/>
          <s v="12 Feb"/>
          <s v="13 Feb"/>
          <s v="14 Feb"/>
          <s v="15 Feb"/>
          <s v="16 Feb"/>
          <s v="17 Feb"/>
          <s v="18 Feb"/>
          <s v="19 Feb"/>
          <s v="20 Feb"/>
          <s v="21 Feb"/>
          <s v="22 Feb"/>
          <s v="23 Feb"/>
          <s v="24 Feb"/>
          <s v="25 Feb"/>
          <s v="26 Feb"/>
          <s v="27 Feb"/>
          <s v="28 Feb"/>
          <s v="29 Feb"/>
          <s v="1 Mar"/>
          <s v="2 Mar"/>
          <s v="3 Mar"/>
          <s v="4 Mar"/>
          <s v="5 Mar"/>
          <s v="6 Mar"/>
          <s v="7 Mar"/>
          <s v="8 Mar"/>
          <s v="9 Mar"/>
          <s v="10 Mar"/>
          <s v="11 Mar"/>
          <s v="12 Mar"/>
          <s v="13 Mar"/>
          <s v="14 Mar"/>
          <s v="15 Mar"/>
          <s v="16 Mar"/>
          <s v="17 Mar"/>
          <s v="18 Mar"/>
          <s v="19 Mar"/>
          <s v="20 Mar"/>
          <s v="21 Mar"/>
          <s v="22 Mar"/>
          <s v="23 Mar"/>
          <s v="24 Mar"/>
          <s v="25 Mar"/>
          <s v="26 Mar"/>
          <s v="27 Mar"/>
          <s v="28 Mar"/>
          <s v="29 Mar"/>
          <s v="30 Mar"/>
          <s v="31 Mar"/>
          <s v="1 Apr"/>
          <s v="2 Apr"/>
          <s v="3 Apr"/>
          <s v="4 Apr"/>
          <s v="5 Apr"/>
          <s v="6 Apr"/>
          <s v="7 Apr"/>
          <s v="8 Apr"/>
          <s v="9 Apr"/>
          <s v="10 Apr"/>
          <s v="11 Apr"/>
          <s v="12 Apr"/>
          <s v="13 Apr"/>
          <s v="14 Apr"/>
          <s v="15 Apr"/>
          <s v="16 Apr"/>
          <s v="17 Apr"/>
          <s v="18 Apr"/>
          <s v="19 Apr"/>
          <s v="20 Apr"/>
          <s v="21 Apr"/>
          <s v="22 Apr"/>
          <s v="23 Apr"/>
          <s v="24 Apr"/>
          <s v="25 Apr"/>
          <s v="26 Apr"/>
          <s v="27 Apr"/>
          <s v="28 Apr"/>
          <s v="29 Apr"/>
          <s v="30 Apr"/>
          <s v="1 May"/>
          <s v="2 May"/>
          <s v="3 May"/>
          <s v="4 May"/>
          <s v="5 May"/>
          <s v="6 May"/>
          <s v="7 May"/>
          <s v="8 May"/>
          <s v="9 May"/>
          <s v="10 May"/>
          <s v="11 May"/>
          <s v="12 May"/>
          <s v="13 May"/>
          <s v="14 May"/>
          <s v="15 May"/>
          <s v="16 May"/>
          <s v="17 May"/>
          <s v="18 May"/>
          <s v="19 May"/>
          <s v="20 May"/>
          <s v="21 May"/>
          <s v="22 May"/>
          <s v="23 May"/>
          <s v="24 May"/>
          <s v="25 May"/>
          <s v="26 May"/>
          <s v="27 May"/>
          <s v="28 May"/>
          <s v="29 May"/>
          <s v="30 May"/>
          <s v="31 May"/>
          <s v="1 Jun"/>
          <s v="2 Jun"/>
          <s v="3 Jun"/>
          <s v="4 Jun"/>
          <s v="5 Jun"/>
          <s v="6 Jun"/>
          <s v="7 Jun"/>
          <s v="8 Jun"/>
          <s v="9 Jun"/>
          <s v="10 Jun"/>
          <s v="11 Jun"/>
          <s v="12 Jun"/>
          <s v="13 Jun"/>
          <s v="14 Jun"/>
          <s v="15 Jun"/>
          <s v="16 Jun"/>
          <s v="17 Jun"/>
          <s v="18 Jun"/>
          <s v="19 Jun"/>
          <s v="20 Jun"/>
          <s v="21 Jun"/>
          <s v="22 Jun"/>
          <s v="23 Jun"/>
          <s v="24 Jun"/>
          <s v="25 Jun"/>
          <s v="26 Jun"/>
          <s v="27 Jun"/>
          <s v="28 Jun"/>
          <s v="29 Jun"/>
          <s v="30 Jun"/>
          <s v="1 Jul"/>
          <s v="2 Jul"/>
          <s v="3 Jul"/>
          <s v="4 Jul"/>
          <s v="5 Jul"/>
          <s v="6 Jul"/>
          <s v="7 Jul"/>
          <s v="8 Jul"/>
          <s v="9 Jul"/>
          <s v="10 Jul"/>
          <s v="11 Jul"/>
          <s v="12 Jul"/>
          <s v="13 Jul"/>
          <s v="14 Jul"/>
          <s v="15 Jul"/>
          <s v="16 Jul"/>
          <s v="17 Jul"/>
          <s v="18 Jul"/>
          <s v="19 Jul"/>
          <s v="20 Jul"/>
          <s v="21 Jul"/>
          <s v="22 Jul"/>
          <s v="23 Jul"/>
          <s v="24 Jul"/>
          <s v="25 Jul"/>
          <s v="26 Jul"/>
          <s v="27 Jul"/>
          <s v="28 Jul"/>
          <s v="29 Jul"/>
          <s v="30 Jul"/>
          <s v="31 Jul"/>
          <s v="1 Aug"/>
          <s v="2 Aug"/>
          <s v="3 Aug"/>
          <s v="4 Aug"/>
          <s v="5 Aug"/>
          <s v="6 Aug"/>
          <s v="7 Aug"/>
          <s v="8 Aug"/>
          <s v="9 Aug"/>
          <s v="10 Aug"/>
          <s v="11 Aug"/>
          <s v="12 Aug"/>
          <s v="13 Aug"/>
          <s v="14 Aug"/>
          <s v="15 Aug"/>
          <s v="16 Aug"/>
          <s v="17 Aug"/>
          <s v="18 Aug"/>
          <s v="19 Aug"/>
          <s v="20 Aug"/>
          <s v="21 Aug"/>
          <s v="22 Aug"/>
          <s v="23 Aug"/>
          <s v="24 Aug"/>
          <s v="25 Aug"/>
          <s v="26 Aug"/>
          <s v="27 Aug"/>
          <s v="28 Aug"/>
          <s v="29 Aug"/>
          <s v="30 Aug"/>
          <s v="31 Aug"/>
          <s v="1 Sep"/>
          <s v="2 Sep"/>
          <s v="3 Sep"/>
          <s v="4 Sep"/>
          <s v="5 Sep"/>
          <s v="6 Sep"/>
          <s v="7 Sep"/>
          <s v="8 Sep"/>
          <s v="9 Sep"/>
          <s v="10 Sep"/>
          <s v="11 Sep"/>
          <s v="12 Sep"/>
          <s v="13 Sep"/>
          <s v="14 Sep"/>
          <s v="15 Sep"/>
          <s v="16 Sep"/>
          <s v="17 Sep"/>
          <s v="18 Sep"/>
          <s v="19 Sep"/>
          <s v="20 Sep"/>
          <s v="21 Sep"/>
          <s v="22 Sep"/>
          <s v="23 Sep"/>
          <s v="24 Sep"/>
          <s v="25 Sep"/>
          <s v="26 Sep"/>
          <s v="27 Sep"/>
          <s v="28 Sep"/>
          <s v="29 Sep"/>
          <s v="30 Sep"/>
          <s v="1 Oct"/>
          <s v="2 Oct"/>
          <s v="3 Oct"/>
          <s v="4 Oct"/>
          <s v="5 Oct"/>
          <s v="6 Oct"/>
          <s v="7 Oct"/>
          <s v="8 Oct"/>
          <s v="9 Oct"/>
          <s v="10 Oct"/>
          <s v="11 Oct"/>
          <s v="12 Oct"/>
          <s v="13 Oct"/>
          <s v="14 Oct"/>
          <s v="15 Oct"/>
          <s v="16 Oct"/>
          <s v="17 Oct"/>
          <s v="18 Oct"/>
          <s v="19 Oct"/>
          <s v="20 Oct"/>
          <s v="21 Oct"/>
          <s v="22 Oct"/>
          <s v="23 Oct"/>
          <s v="24 Oct"/>
          <s v="25 Oct"/>
          <s v="26 Oct"/>
          <s v="27 Oct"/>
          <s v="28 Oct"/>
          <s v="29 Oct"/>
          <s v="30 Oct"/>
          <s v="31 Oct"/>
          <s v="1 Nov"/>
          <s v="2 Nov"/>
          <s v="3 Nov"/>
          <s v="4 Nov"/>
          <s v="5 Nov"/>
          <s v="6 Nov"/>
          <s v="7 Nov"/>
          <s v="8 Nov"/>
          <s v="9 Nov"/>
          <s v="10 Nov"/>
          <s v="11 Nov"/>
          <s v="12 Nov"/>
          <s v="13 Nov"/>
          <s v="14 Nov"/>
          <s v="15 Nov"/>
          <s v="16 Nov"/>
          <s v="17 Nov"/>
          <s v="18 Nov"/>
          <s v="19 Nov"/>
          <s v="20 Nov"/>
          <s v="21 Nov"/>
          <s v="22 Nov"/>
          <s v="23 Nov"/>
          <s v="24 Nov"/>
          <s v="25 Nov"/>
          <s v="26 Nov"/>
          <s v="27 Nov"/>
          <s v="28 Nov"/>
          <s v="29 Nov"/>
          <s v="30 Nov"/>
          <s v="1 Dec"/>
          <s v="2 Dec"/>
          <s v="3 Dec"/>
          <s v="4 Dec"/>
          <s v="5 Dec"/>
          <s v="6 Dec"/>
          <s v="7 Dec"/>
          <s v="8 Dec"/>
          <s v="9 Dec"/>
          <s v="10 Dec"/>
          <s v="11 Dec"/>
          <s v="12 Dec"/>
          <s v="13 Dec"/>
          <s v="14 Dec"/>
          <s v="15 Dec"/>
          <s v="16 Dec"/>
          <s v="17 Dec"/>
          <s v="18 Dec"/>
          <s v="19 Dec"/>
          <s v="20 Dec"/>
          <s v="21 Dec"/>
          <s v="22 Dec"/>
          <s v="23 Dec"/>
          <s v="24 Dec"/>
          <s v="25 Dec"/>
          <s v="26 Dec"/>
          <s v="27 Dec"/>
          <s v="28 Dec"/>
          <s v="29 Dec"/>
          <s v="30 Dec"/>
          <s v="31 Dec"/>
          <s v="&gt;15 08 2026"/>
        </groupItems>
      </fieldGroup>
    </cacheField>
    <cacheField name="Months (Date)" numFmtId="0" databaseField="0">
      <fieldGroup base="0">
        <rangePr groupBy="months" startDate="2026-01-01T00:00:00" endDate="2026-08-15T00:00:00"/>
        <groupItems count="14">
          <s v="&lt;1 01 2026"/>
          <s v="Jan"/>
          <s v="Feb"/>
          <s v="Mar"/>
          <s v="Apr"/>
          <s v="May"/>
          <s v="Jun"/>
          <s v="Jul"/>
          <s v="Aug"/>
          <s v="Sep"/>
          <s v="Oct"/>
          <s v="Nov"/>
          <s v="Dec"/>
          <s v="&gt;15 08 2026"/>
        </groupItems>
      </fieldGroup>
    </cacheField>
  </cacheFields>
  <extLst>
    <ext xmlns:x14="http://schemas.microsoft.com/office/spreadsheetml/2009/9/main" uri="{725AE2AE-9491-48be-B2B4-4EB974FC3084}">
      <x14:pivotCacheDefinition pivotCacheId="1969549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s v="Red"/>
    <x v="0"/>
    <x v="0"/>
    <n v="7"/>
    <x v="0"/>
    <n v="89"/>
    <n v="47"/>
    <n v="623"/>
    <n v="329"/>
    <n v="294"/>
    <n v="0.47191011235955055"/>
  </r>
  <r>
    <x v="1"/>
    <x v="1"/>
    <x v="0"/>
    <s v="Black"/>
    <x v="0"/>
    <x v="0"/>
    <n v="1"/>
    <x v="1"/>
    <n v="54"/>
    <n v="28"/>
    <n v="54"/>
    <n v="28"/>
    <n v="26"/>
    <n v="0.48148148148148145"/>
  </r>
  <r>
    <x v="2"/>
    <x v="2"/>
    <x v="0"/>
    <s v="Green"/>
    <x v="1"/>
    <x v="1"/>
    <n v="7"/>
    <x v="0"/>
    <n v="32"/>
    <n v="14"/>
    <n v="224"/>
    <n v="98"/>
    <n v="126"/>
    <n v="0.5625"/>
  </r>
  <r>
    <x v="3"/>
    <x v="3"/>
    <x v="1"/>
    <s v="Black"/>
    <x v="0"/>
    <x v="2"/>
    <n v="6"/>
    <x v="0"/>
    <n v="76"/>
    <n v="39"/>
    <n v="456"/>
    <n v="234"/>
    <n v="222"/>
    <n v="0.48684210526315791"/>
  </r>
  <r>
    <x v="4"/>
    <x v="3"/>
    <x v="2"/>
    <s v="Red"/>
    <x v="1"/>
    <x v="3"/>
    <n v="6"/>
    <x v="0"/>
    <n v="76"/>
    <n v="39"/>
    <n v="456"/>
    <n v="234"/>
    <n v="222"/>
    <n v="0.48684210526315791"/>
  </r>
  <r>
    <x v="5"/>
    <x v="4"/>
    <x v="1"/>
    <s v="Blue"/>
    <x v="0"/>
    <x v="4"/>
    <n v="6"/>
    <x v="1"/>
    <n v="128"/>
    <n v="72"/>
    <n v="768"/>
    <n v="432"/>
    <n v="336"/>
    <n v="0.4375"/>
  </r>
  <r>
    <x v="6"/>
    <x v="4"/>
    <x v="0"/>
    <s v="Green"/>
    <x v="1"/>
    <x v="5"/>
    <n v="13"/>
    <x v="2"/>
    <n v="128"/>
    <n v="72"/>
    <n v="1664"/>
    <n v="936"/>
    <n v="728"/>
    <n v="0.4375"/>
  </r>
  <r>
    <x v="7"/>
    <x v="0"/>
    <x v="0"/>
    <s v="Brown"/>
    <x v="2"/>
    <x v="5"/>
    <n v="12"/>
    <x v="2"/>
    <n v="89"/>
    <n v="47"/>
    <n v="1068"/>
    <n v="564"/>
    <n v="504"/>
    <n v="0.47191011235955055"/>
  </r>
  <r>
    <x v="8"/>
    <x v="2"/>
    <x v="0"/>
    <s v="Green"/>
    <x v="1"/>
    <x v="6"/>
    <n v="10"/>
    <x v="2"/>
    <n v="32"/>
    <n v="14"/>
    <n v="320"/>
    <n v="140"/>
    <n v="180"/>
    <n v="0.5625"/>
  </r>
  <r>
    <x v="9"/>
    <x v="5"/>
    <x v="0"/>
    <s v="Black"/>
    <x v="1"/>
    <x v="7"/>
    <n v="15"/>
    <x v="3"/>
    <n v="105"/>
    <n v="58"/>
    <n v="1575"/>
    <n v="870"/>
    <n v="705"/>
    <n v="0.44761904761904764"/>
  </r>
  <r>
    <x v="10"/>
    <x v="3"/>
    <x v="0"/>
    <s v="Brown"/>
    <x v="1"/>
    <x v="8"/>
    <n v="8"/>
    <x v="0"/>
    <n v="76"/>
    <n v="39"/>
    <n v="608"/>
    <n v="312"/>
    <n v="296"/>
    <n v="0.48684210526315791"/>
  </r>
  <r>
    <x v="11"/>
    <x v="1"/>
    <x v="2"/>
    <s v="Green"/>
    <x v="1"/>
    <x v="6"/>
    <n v="9"/>
    <x v="2"/>
    <n v="54"/>
    <n v="28"/>
    <n v="486"/>
    <n v="252"/>
    <n v="234"/>
    <n v="0.48148148148148145"/>
  </r>
  <r>
    <x v="12"/>
    <x v="6"/>
    <x v="1"/>
    <s v="Green"/>
    <x v="0"/>
    <x v="9"/>
    <n v="14"/>
    <x v="0"/>
    <n v="112"/>
    <n v="64"/>
    <n v="1568"/>
    <n v="896"/>
    <n v="672"/>
    <n v="0.42857142857142855"/>
  </r>
  <r>
    <x v="13"/>
    <x v="5"/>
    <x v="0"/>
    <s v="Green"/>
    <x v="2"/>
    <x v="1"/>
    <n v="4"/>
    <x v="1"/>
    <n v="105"/>
    <n v="58"/>
    <n v="420"/>
    <n v="232"/>
    <n v="188"/>
    <n v="0.44761904761904764"/>
  </r>
  <r>
    <x v="1"/>
    <x v="7"/>
    <x v="0"/>
    <s v="Red"/>
    <x v="3"/>
    <x v="0"/>
    <n v="6"/>
    <x v="1"/>
    <n v="119"/>
    <n v="67"/>
    <n v="714"/>
    <n v="402"/>
    <n v="312"/>
    <n v="0.43697478991596639"/>
  </r>
  <r>
    <x v="14"/>
    <x v="2"/>
    <x v="2"/>
    <s v="Green"/>
    <x v="3"/>
    <x v="10"/>
    <n v="10"/>
    <x v="2"/>
    <n v="32"/>
    <n v="14"/>
    <n v="320"/>
    <n v="140"/>
    <n v="180"/>
    <n v="0.5625"/>
  </r>
  <r>
    <x v="15"/>
    <x v="3"/>
    <x v="3"/>
    <s v="Red"/>
    <x v="4"/>
    <x v="1"/>
    <n v="7"/>
    <x v="0"/>
    <n v="76"/>
    <n v="39"/>
    <n v="532"/>
    <n v="273"/>
    <n v="259"/>
    <n v="0.48684210526315791"/>
  </r>
  <r>
    <x v="16"/>
    <x v="2"/>
    <x v="2"/>
    <s v="Blue"/>
    <x v="1"/>
    <x v="3"/>
    <n v="7"/>
    <x v="3"/>
    <n v="32"/>
    <n v="14"/>
    <n v="224"/>
    <n v="98"/>
    <n v="126"/>
    <n v="0.5625"/>
  </r>
  <r>
    <x v="17"/>
    <x v="5"/>
    <x v="3"/>
    <s v="Black"/>
    <x v="1"/>
    <x v="3"/>
    <n v="11"/>
    <x v="2"/>
    <n v="105"/>
    <n v="58"/>
    <n v="1155"/>
    <n v="638"/>
    <n v="517"/>
    <n v="0.44761904761904764"/>
  </r>
  <r>
    <x v="18"/>
    <x v="3"/>
    <x v="1"/>
    <s v="Red"/>
    <x v="0"/>
    <x v="11"/>
    <n v="6"/>
    <x v="2"/>
    <n v="76"/>
    <n v="39"/>
    <n v="456"/>
    <n v="234"/>
    <n v="222"/>
    <n v="0.48684210526315791"/>
  </r>
  <r>
    <x v="19"/>
    <x v="0"/>
    <x v="0"/>
    <s v="Red"/>
    <x v="1"/>
    <x v="9"/>
    <n v="8"/>
    <x v="1"/>
    <n v="89"/>
    <n v="47"/>
    <n v="712"/>
    <n v="376"/>
    <n v="336"/>
    <n v="0.47191011235955055"/>
  </r>
  <r>
    <x v="20"/>
    <x v="6"/>
    <x v="2"/>
    <s v="Green"/>
    <x v="4"/>
    <x v="6"/>
    <n v="5"/>
    <x v="3"/>
    <n v="112"/>
    <n v="64"/>
    <n v="560"/>
    <n v="320"/>
    <n v="240"/>
    <n v="0.42857142857142855"/>
  </r>
  <r>
    <x v="21"/>
    <x v="5"/>
    <x v="0"/>
    <s v="Green"/>
    <x v="4"/>
    <x v="11"/>
    <n v="15"/>
    <x v="1"/>
    <n v="105"/>
    <n v="58"/>
    <n v="1575"/>
    <n v="870"/>
    <n v="705"/>
    <n v="0.44761904761904764"/>
  </r>
  <r>
    <x v="22"/>
    <x v="4"/>
    <x v="0"/>
    <s v="Green"/>
    <x v="4"/>
    <x v="7"/>
    <n v="1"/>
    <x v="1"/>
    <n v="128"/>
    <n v="72"/>
    <n v="128"/>
    <n v="72"/>
    <n v="56"/>
    <n v="0.4375"/>
  </r>
  <r>
    <x v="23"/>
    <x v="3"/>
    <x v="2"/>
    <s v="Blue"/>
    <x v="1"/>
    <x v="4"/>
    <n v="12"/>
    <x v="2"/>
    <n v="76"/>
    <n v="39"/>
    <n v="912"/>
    <n v="468"/>
    <n v="444"/>
    <n v="0.48684210526315791"/>
  </r>
  <r>
    <x v="24"/>
    <x v="1"/>
    <x v="1"/>
    <s v="Green"/>
    <x v="4"/>
    <x v="8"/>
    <n v="9"/>
    <x v="3"/>
    <n v="54"/>
    <n v="28"/>
    <n v="486"/>
    <n v="252"/>
    <n v="234"/>
    <n v="0.48148148148148145"/>
  </r>
  <r>
    <x v="3"/>
    <x v="5"/>
    <x v="0"/>
    <s v="Green"/>
    <x v="1"/>
    <x v="4"/>
    <n v="5"/>
    <x v="3"/>
    <n v="105"/>
    <n v="58"/>
    <n v="525"/>
    <n v="290"/>
    <n v="235"/>
    <n v="0.44761904761904764"/>
  </r>
  <r>
    <x v="25"/>
    <x v="1"/>
    <x v="2"/>
    <s v="Green"/>
    <x v="1"/>
    <x v="11"/>
    <n v="8"/>
    <x v="0"/>
    <n v="54"/>
    <n v="28"/>
    <n v="432"/>
    <n v="224"/>
    <n v="208"/>
    <n v="0.48148148148148145"/>
  </r>
  <r>
    <x v="26"/>
    <x v="5"/>
    <x v="0"/>
    <s v="Red"/>
    <x v="3"/>
    <x v="1"/>
    <n v="2"/>
    <x v="0"/>
    <n v="105"/>
    <n v="58"/>
    <n v="210"/>
    <n v="116"/>
    <n v="94"/>
    <n v="0.44761904761904764"/>
  </r>
  <r>
    <x v="27"/>
    <x v="0"/>
    <x v="0"/>
    <s v="Blue"/>
    <x v="3"/>
    <x v="12"/>
    <n v="7"/>
    <x v="2"/>
    <n v="89"/>
    <n v="47"/>
    <n v="623"/>
    <n v="329"/>
    <n v="294"/>
    <n v="0.47191011235955055"/>
  </r>
  <r>
    <x v="28"/>
    <x v="6"/>
    <x v="0"/>
    <s v="Red"/>
    <x v="4"/>
    <x v="9"/>
    <n v="12"/>
    <x v="3"/>
    <n v="112"/>
    <n v="64"/>
    <n v="1344"/>
    <n v="768"/>
    <n v="576"/>
    <n v="0.42857142857142855"/>
  </r>
  <r>
    <x v="29"/>
    <x v="4"/>
    <x v="0"/>
    <s v="Blue"/>
    <x v="1"/>
    <x v="11"/>
    <n v="15"/>
    <x v="1"/>
    <n v="128"/>
    <n v="72"/>
    <n v="1920"/>
    <n v="1080"/>
    <n v="840"/>
    <n v="0.4375"/>
  </r>
  <r>
    <x v="30"/>
    <x v="3"/>
    <x v="0"/>
    <s v="Red"/>
    <x v="3"/>
    <x v="0"/>
    <n v="7"/>
    <x v="3"/>
    <n v="76"/>
    <n v="39"/>
    <n v="532"/>
    <n v="273"/>
    <n v="259"/>
    <n v="0.48684210526315791"/>
  </r>
  <r>
    <x v="31"/>
    <x v="6"/>
    <x v="0"/>
    <s v="Black"/>
    <x v="0"/>
    <x v="7"/>
    <n v="10"/>
    <x v="0"/>
    <n v="112"/>
    <n v="64"/>
    <n v="1120"/>
    <n v="640"/>
    <n v="480"/>
    <n v="0.42857142857142855"/>
  </r>
  <r>
    <x v="10"/>
    <x v="0"/>
    <x v="3"/>
    <s v="Green"/>
    <x v="0"/>
    <x v="10"/>
    <n v="7"/>
    <x v="0"/>
    <n v="89"/>
    <n v="47"/>
    <n v="623"/>
    <n v="329"/>
    <n v="294"/>
    <n v="0.47191011235955055"/>
  </r>
  <r>
    <x v="32"/>
    <x v="3"/>
    <x v="0"/>
    <s v="Red"/>
    <x v="2"/>
    <x v="2"/>
    <n v="5"/>
    <x v="1"/>
    <n v="76"/>
    <n v="39"/>
    <n v="380"/>
    <n v="195"/>
    <n v="185"/>
    <n v="0.48684210526315791"/>
  </r>
  <r>
    <x v="33"/>
    <x v="3"/>
    <x v="0"/>
    <s v="Red"/>
    <x v="1"/>
    <x v="8"/>
    <n v="11"/>
    <x v="0"/>
    <n v="76"/>
    <n v="39"/>
    <n v="836"/>
    <n v="429"/>
    <n v="407"/>
    <n v="0.48684210526315791"/>
  </r>
  <r>
    <x v="14"/>
    <x v="7"/>
    <x v="2"/>
    <s v="Red"/>
    <x v="3"/>
    <x v="11"/>
    <n v="10"/>
    <x v="0"/>
    <n v="119"/>
    <n v="67"/>
    <n v="1190"/>
    <n v="670"/>
    <n v="520"/>
    <n v="0.43697478991596639"/>
  </r>
  <r>
    <x v="32"/>
    <x v="1"/>
    <x v="3"/>
    <s v="Green"/>
    <x v="1"/>
    <x v="5"/>
    <n v="10"/>
    <x v="3"/>
    <n v="54"/>
    <n v="28"/>
    <n v="540"/>
    <n v="280"/>
    <n v="260"/>
    <n v="0.48148148148148145"/>
  </r>
  <r>
    <x v="33"/>
    <x v="5"/>
    <x v="0"/>
    <s v="Red"/>
    <x v="4"/>
    <x v="9"/>
    <n v="13"/>
    <x v="0"/>
    <n v="105"/>
    <n v="58"/>
    <n v="1365"/>
    <n v="754"/>
    <n v="611"/>
    <n v="0.44761904761904764"/>
  </r>
  <r>
    <x v="34"/>
    <x v="6"/>
    <x v="0"/>
    <s v="Blue"/>
    <x v="1"/>
    <x v="5"/>
    <n v="7"/>
    <x v="2"/>
    <n v="112"/>
    <n v="64"/>
    <n v="784"/>
    <n v="448"/>
    <n v="336"/>
    <n v="0.42857142857142855"/>
  </r>
  <r>
    <x v="35"/>
    <x v="3"/>
    <x v="3"/>
    <s v="Green"/>
    <x v="0"/>
    <x v="1"/>
    <n v="14"/>
    <x v="2"/>
    <n v="76"/>
    <n v="39"/>
    <n v="1064"/>
    <n v="546"/>
    <n v="518"/>
    <n v="0.48684210526315791"/>
  </r>
  <r>
    <x v="36"/>
    <x v="5"/>
    <x v="3"/>
    <s v="Green"/>
    <x v="1"/>
    <x v="4"/>
    <n v="13"/>
    <x v="3"/>
    <n v="105"/>
    <n v="58"/>
    <n v="1365"/>
    <n v="754"/>
    <n v="611"/>
    <n v="0.44761904761904764"/>
  </r>
  <r>
    <x v="37"/>
    <x v="1"/>
    <x v="3"/>
    <s v="Red"/>
    <x v="0"/>
    <x v="10"/>
    <n v="3"/>
    <x v="1"/>
    <n v="54"/>
    <n v="28"/>
    <n v="162"/>
    <n v="84"/>
    <n v="78"/>
    <n v="0.48148148148148145"/>
  </r>
  <r>
    <x v="38"/>
    <x v="3"/>
    <x v="0"/>
    <s v="Green"/>
    <x v="4"/>
    <x v="3"/>
    <n v="1"/>
    <x v="0"/>
    <n v="76"/>
    <n v="39"/>
    <n v="76"/>
    <n v="39"/>
    <n v="37"/>
    <n v="0.48684210526315791"/>
  </r>
  <r>
    <x v="39"/>
    <x v="6"/>
    <x v="0"/>
    <s v="Red"/>
    <x v="1"/>
    <x v="9"/>
    <n v="9"/>
    <x v="3"/>
    <n v="112"/>
    <n v="64"/>
    <n v="1008"/>
    <n v="576"/>
    <n v="432"/>
    <n v="0.42857142857142855"/>
  </r>
  <r>
    <x v="40"/>
    <x v="3"/>
    <x v="0"/>
    <s v="Green"/>
    <x v="3"/>
    <x v="12"/>
    <n v="5"/>
    <x v="3"/>
    <n v="76"/>
    <n v="39"/>
    <n v="380"/>
    <n v="195"/>
    <n v="185"/>
    <n v="0.48684210526315791"/>
  </r>
  <r>
    <x v="41"/>
    <x v="5"/>
    <x v="2"/>
    <s v="Black"/>
    <x v="0"/>
    <x v="5"/>
    <n v="11"/>
    <x v="3"/>
    <n v="105"/>
    <n v="58"/>
    <n v="1155"/>
    <n v="638"/>
    <n v="517"/>
    <n v="0.44761904761904764"/>
  </r>
  <r>
    <x v="42"/>
    <x v="1"/>
    <x v="0"/>
    <s v="Black"/>
    <x v="3"/>
    <x v="5"/>
    <n v="6"/>
    <x v="1"/>
    <n v="54"/>
    <n v="28"/>
    <n v="324"/>
    <n v="168"/>
    <n v="156"/>
    <n v="0.48148148148148145"/>
  </r>
  <r>
    <x v="43"/>
    <x v="3"/>
    <x v="1"/>
    <s v="Blue"/>
    <x v="3"/>
    <x v="13"/>
    <n v="1"/>
    <x v="3"/>
    <n v="76"/>
    <n v="39"/>
    <n v="76"/>
    <n v="39"/>
    <n v="37"/>
    <n v="0.48684210526315791"/>
  </r>
  <r>
    <x v="44"/>
    <x v="4"/>
    <x v="2"/>
    <s v="Red"/>
    <x v="1"/>
    <x v="12"/>
    <n v="4"/>
    <x v="0"/>
    <n v="128"/>
    <n v="72"/>
    <n v="512"/>
    <n v="288"/>
    <n v="224"/>
    <n v="0.4375"/>
  </r>
  <r>
    <x v="45"/>
    <x v="5"/>
    <x v="1"/>
    <s v="Black"/>
    <x v="1"/>
    <x v="8"/>
    <n v="5"/>
    <x v="2"/>
    <n v="105"/>
    <n v="58"/>
    <n v="525"/>
    <n v="290"/>
    <n v="235"/>
    <n v="0.44761904761904764"/>
  </r>
  <r>
    <x v="41"/>
    <x v="0"/>
    <x v="0"/>
    <s v="Black"/>
    <x v="3"/>
    <x v="0"/>
    <n v="4"/>
    <x v="1"/>
    <n v="89"/>
    <n v="47"/>
    <n v="356"/>
    <n v="188"/>
    <n v="168"/>
    <n v="0.47191011235955055"/>
  </r>
  <r>
    <x v="46"/>
    <x v="6"/>
    <x v="0"/>
    <s v="Black"/>
    <x v="3"/>
    <x v="1"/>
    <n v="1"/>
    <x v="3"/>
    <n v="112"/>
    <n v="64"/>
    <n v="112"/>
    <n v="64"/>
    <n v="48"/>
    <n v="0.42857142857142855"/>
  </r>
  <r>
    <x v="47"/>
    <x v="4"/>
    <x v="0"/>
    <s v="Red"/>
    <x v="0"/>
    <x v="11"/>
    <n v="4"/>
    <x v="0"/>
    <n v="128"/>
    <n v="72"/>
    <n v="512"/>
    <n v="288"/>
    <n v="224"/>
    <n v="0.4375"/>
  </r>
  <r>
    <x v="48"/>
    <x v="0"/>
    <x v="2"/>
    <s v="Black"/>
    <x v="1"/>
    <x v="2"/>
    <n v="5"/>
    <x v="1"/>
    <n v="89"/>
    <n v="47"/>
    <n v="445"/>
    <n v="235"/>
    <n v="210"/>
    <n v="0.47191011235955055"/>
  </r>
  <r>
    <x v="49"/>
    <x v="4"/>
    <x v="3"/>
    <s v="Black"/>
    <x v="4"/>
    <x v="7"/>
    <n v="2"/>
    <x v="2"/>
    <n v="128"/>
    <n v="72"/>
    <n v="256"/>
    <n v="144"/>
    <n v="112"/>
    <n v="0.4375"/>
  </r>
  <r>
    <x v="50"/>
    <x v="7"/>
    <x v="0"/>
    <s v="Red"/>
    <x v="0"/>
    <x v="1"/>
    <n v="1"/>
    <x v="0"/>
    <n v="119"/>
    <n v="67"/>
    <n v="119"/>
    <n v="67"/>
    <n v="52"/>
    <n v="0.43697478991596639"/>
  </r>
  <r>
    <x v="51"/>
    <x v="6"/>
    <x v="2"/>
    <s v="Green"/>
    <x v="0"/>
    <x v="0"/>
    <n v="15"/>
    <x v="0"/>
    <n v="112"/>
    <n v="64"/>
    <n v="1680"/>
    <n v="960"/>
    <n v="720"/>
    <n v="0.42857142857142855"/>
  </r>
  <r>
    <x v="52"/>
    <x v="3"/>
    <x v="0"/>
    <s v="Green"/>
    <x v="4"/>
    <x v="3"/>
    <n v="11"/>
    <x v="3"/>
    <n v="76"/>
    <n v="39"/>
    <n v="836"/>
    <n v="429"/>
    <n v="407"/>
    <n v="0.48684210526315791"/>
  </r>
  <r>
    <x v="53"/>
    <x v="5"/>
    <x v="1"/>
    <s v="Red"/>
    <x v="1"/>
    <x v="4"/>
    <n v="10"/>
    <x v="1"/>
    <n v="105"/>
    <n v="58"/>
    <n v="1050"/>
    <n v="580"/>
    <n v="470"/>
    <n v="0.44761904761904764"/>
  </r>
  <r>
    <x v="54"/>
    <x v="4"/>
    <x v="0"/>
    <s v="Brown"/>
    <x v="4"/>
    <x v="2"/>
    <n v="9"/>
    <x v="1"/>
    <n v="128"/>
    <n v="72"/>
    <n v="1152"/>
    <n v="648"/>
    <n v="504"/>
    <n v="0.4375"/>
  </r>
  <r>
    <x v="55"/>
    <x v="1"/>
    <x v="0"/>
    <s v="Blue"/>
    <x v="0"/>
    <x v="0"/>
    <n v="1"/>
    <x v="0"/>
    <n v="54"/>
    <n v="28"/>
    <n v="54"/>
    <n v="28"/>
    <n v="26"/>
    <n v="0.48148148148148145"/>
  </r>
  <r>
    <x v="56"/>
    <x v="5"/>
    <x v="0"/>
    <s v="Green"/>
    <x v="3"/>
    <x v="7"/>
    <n v="8"/>
    <x v="0"/>
    <n v="105"/>
    <n v="58"/>
    <n v="840"/>
    <n v="464"/>
    <n v="376"/>
    <n v="0.44761904761904764"/>
  </r>
  <r>
    <x v="17"/>
    <x v="5"/>
    <x v="2"/>
    <s v="Green"/>
    <x v="4"/>
    <x v="9"/>
    <n v="5"/>
    <x v="0"/>
    <n v="105"/>
    <n v="58"/>
    <n v="525"/>
    <n v="290"/>
    <n v="235"/>
    <n v="0.44761904761904764"/>
  </r>
  <r>
    <x v="57"/>
    <x v="2"/>
    <x v="2"/>
    <s v="Black"/>
    <x v="2"/>
    <x v="1"/>
    <n v="14"/>
    <x v="1"/>
    <n v="32"/>
    <n v="14"/>
    <n v="448"/>
    <n v="196"/>
    <n v="252"/>
    <n v="0.5625"/>
  </r>
  <r>
    <x v="0"/>
    <x v="0"/>
    <x v="3"/>
    <s v="Brown"/>
    <x v="1"/>
    <x v="3"/>
    <n v="14"/>
    <x v="3"/>
    <n v="89"/>
    <n v="47"/>
    <n v="1246"/>
    <n v="658"/>
    <n v="588"/>
    <n v="0.47191011235955055"/>
  </r>
  <r>
    <x v="58"/>
    <x v="6"/>
    <x v="0"/>
    <s v="Black"/>
    <x v="1"/>
    <x v="11"/>
    <n v="8"/>
    <x v="3"/>
    <n v="112"/>
    <n v="64"/>
    <n v="896"/>
    <n v="512"/>
    <n v="384"/>
    <n v="0.42857142857142855"/>
  </r>
  <r>
    <x v="59"/>
    <x v="1"/>
    <x v="0"/>
    <s v="Black"/>
    <x v="1"/>
    <x v="10"/>
    <n v="7"/>
    <x v="0"/>
    <n v="54"/>
    <n v="28"/>
    <n v="378"/>
    <n v="196"/>
    <n v="182"/>
    <n v="0.48148148148148145"/>
  </r>
  <r>
    <x v="9"/>
    <x v="6"/>
    <x v="3"/>
    <s v="Green"/>
    <x v="1"/>
    <x v="10"/>
    <n v="7"/>
    <x v="3"/>
    <n v="112"/>
    <n v="64"/>
    <n v="784"/>
    <n v="448"/>
    <n v="336"/>
    <n v="0.42857142857142855"/>
  </r>
  <r>
    <x v="60"/>
    <x v="0"/>
    <x v="0"/>
    <s v="Green"/>
    <x v="2"/>
    <x v="4"/>
    <n v="8"/>
    <x v="2"/>
    <n v="89"/>
    <n v="47"/>
    <n v="712"/>
    <n v="376"/>
    <n v="336"/>
    <n v="0.47191011235955055"/>
  </r>
  <r>
    <x v="61"/>
    <x v="2"/>
    <x v="2"/>
    <s v="Green"/>
    <x v="1"/>
    <x v="3"/>
    <n v="9"/>
    <x v="3"/>
    <n v="32"/>
    <n v="14"/>
    <n v="288"/>
    <n v="126"/>
    <n v="162"/>
    <n v="0.5625"/>
  </r>
  <r>
    <x v="62"/>
    <x v="3"/>
    <x v="0"/>
    <s v="Brown"/>
    <x v="3"/>
    <x v="3"/>
    <n v="5"/>
    <x v="1"/>
    <n v="76"/>
    <n v="39"/>
    <n v="380"/>
    <n v="195"/>
    <n v="185"/>
    <n v="0.48684210526315791"/>
  </r>
  <r>
    <x v="63"/>
    <x v="3"/>
    <x v="0"/>
    <s v="Blue"/>
    <x v="4"/>
    <x v="10"/>
    <n v="9"/>
    <x v="2"/>
    <n v="76"/>
    <n v="39"/>
    <n v="684"/>
    <n v="351"/>
    <n v="333"/>
    <n v="0.48684210526315791"/>
  </r>
  <r>
    <x v="64"/>
    <x v="5"/>
    <x v="2"/>
    <s v="Brown"/>
    <x v="1"/>
    <x v="9"/>
    <n v="7"/>
    <x v="1"/>
    <n v="105"/>
    <n v="58"/>
    <n v="735"/>
    <n v="406"/>
    <n v="329"/>
    <n v="0.44761904761904764"/>
  </r>
  <r>
    <x v="65"/>
    <x v="5"/>
    <x v="0"/>
    <s v="Green"/>
    <x v="1"/>
    <x v="0"/>
    <n v="13"/>
    <x v="2"/>
    <n v="105"/>
    <n v="58"/>
    <n v="1365"/>
    <n v="754"/>
    <n v="611"/>
    <n v="0.44761904761904764"/>
  </r>
  <r>
    <x v="66"/>
    <x v="1"/>
    <x v="0"/>
    <s v="Blue"/>
    <x v="3"/>
    <x v="4"/>
    <n v="8"/>
    <x v="1"/>
    <n v="54"/>
    <n v="28"/>
    <n v="432"/>
    <n v="224"/>
    <n v="208"/>
    <n v="0.48148148148148145"/>
  </r>
  <r>
    <x v="67"/>
    <x v="2"/>
    <x v="2"/>
    <s v="Brown"/>
    <x v="2"/>
    <x v="10"/>
    <n v="11"/>
    <x v="3"/>
    <n v="32"/>
    <n v="14"/>
    <n v="352"/>
    <n v="154"/>
    <n v="198"/>
    <n v="0.5625"/>
  </r>
  <r>
    <x v="68"/>
    <x v="6"/>
    <x v="0"/>
    <s v="Green"/>
    <x v="1"/>
    <x v="6"/>
    <n v="11"/>
    <x v="1"/>
    <n v="112"/>
    <n v="64"/>
    <n v="1232"/>
    <n v="704"/>
    <n v="528"/>
    <n v="0.42857142857142855"/>
  </r>
  <r>
    <x v="28"/>
    <x v="7"/>
    <x v="0"/>
    <s v="Black"/>
    <x v="2"/>
    <x v="13"/>
    <n v="15"/>
    <x v="1"/>
    <n v="119"/>
    <n v="67"/>
    <n v="1785"/>
    <n v="1005"/>
    <n v="780"/>
    <n v="0.43697478991596639"/>
  </r>
  <r>
    <x v="34"/>
    <x v="4"/>
    <x v="2"/>
    <s v="Brown"/>
    <x v="3"/>
    <x v="11"/>
    <n v="10"/>
    <x v="0"/>
    <n v="128"/>
    <n v="72"/>
    <n v="1280"/>
    <n v="720"/>
    <n v="560"/>
    <n v="0.4375"/>
  </r>
  <r>
    <x v="69"/>
    <x v="3"/>
    <x v="1"/>
    <s v="Brown"/>
    <x v="3"/>
    <x v="7"/>
    <n v="4"/>
    <x v="0"/>
    <n v="76"/>
    <n v="39"/>
    <n v="304"/>
    <n v="156"/>
    <n v="148"/>
    <n v="0.48684210526315791"/>
  </r>
  <r>
    <x v="11"/>
    <x v="3"/>
    <x v="2"/>
    <s v="Green"/>
    <x v="4"/>
    <x v="8"/>
    <n v="7"/>
    <x v="3"/>
    <n v="76"/>
    <n v="39"/>
    <n v="532"/>
    <n v="273"/>
    <n v="259"/>
    <n v="0.48684210526315791"/>
  </r>
  <r>
    <x v="70"/>
    <x v="2"/>
    <x v="1"/>
    <s v="Blue"/>
    <x v="4"/>
    <x v="12"/>
    <n v="7"/>
    <x v="2"/>
    <n v="32"/>
    <n v="14"/>
    <n v="224"/>
    <n v="98"/>
    <n v="126"/>
    <n v="0.5625"/>
  </r>
  <r>
    <x v="71"/>
    <x v="3"/>
    <x v="0"/>
    <s v="Green"/>
    <x v="3"/>
    <x v="1"/>
    <n v="13"/>
    <x v="3"/>
    <n v="76"/>
    <n v="39"/>
    <n v="988"/>
    <n v="507"/>
    <n v="481"/>
    <n v="0.48684210526315791"/>
  </r>
  <r>
    <x v="72"/>
    <x v="1"/>
    <x v="1"/>
    <s v="Green"/>
    <x v="2"/>
    <x v="12"/>
    <n v="12"/>
    <x v="0"/>
    <n v="54"/>
    <n v="28"/>
    <n v="648"/>
    <n v="336"/>
    <n v="312"/>
    <n v="0.48148148148148145"/>
  </r>
  <r>
    <x v="73"/>
    <x v="3"/>
    <x v="2"/>
    <s v="Red"/>
    <x v="2"/>
    <x v="0"/>
    <n v="14"/>
    <x v="2"/>
    <n v="76"/>
    <n v="39"/>
    <n v="1064"/>
    <n v="546"/>
    <n v="518"/>
    <n v="0.48684210526315791"/>
  </r>
  <r>
    <x v="74"/>
    <x v="5"/>
    <x v="0"/>
    <s v="Brown"/>
    <x v="1"/>
    <x v="12"/>
    <n v="8"/>
    <x v="2"/>
    <n v="105"/>
    <n v="58"/>
    <n v="840"/>
    <n v="464"/>
    <n v="376"/>
    <n v="0.44761904761904764"/>
  </r>
  <r>
    <x v="75"/>
    <x v="3"/>
    <x v="0"/>
    <s v="Green"/>
    <x v="1"/>
    <x v="7"/>
    <n v="3"/>
    <x v="0"/>
    <n v="76"/>
    <n v="39"/>
    <n v="228"/>
    <n v="117"/>
    <n v="111"/>
    <n v="0.48684210526315791"/>
  </r>
  <r>
    <x v="34"/>
    <x v="2"/>
    <x v="1"/>
    <s v="Black"/>
    <x v="4"/>
    <x v="4"/>
    <n v="8"/>
    <x v="1"/>
    <n v="32"/>
    <n v="14"/>
    <n v="256"/>
    <n v="112"/>
    <n v="144"/>
    <n v="0.5625"/>
  </r>
  <r>
    <x v="31"/>
    <x v="7"/>
    <x v="1"/>
    <s v="Green"/>
    <x v="3"/>
    <x v="4"/>
    <n v="14"/>
    <x v="0"/>
    <n v="119"/>
    <n v="67"/>
    <n v="1666"/>
    <n v="938"/>
    <n v="728"/>
    <n v="0.43697478991596639"/>
  </r>
  <r>
    <x v="76"/>
    <x v="6"/>
    <x v="0"/>
    <s v="Green"/>
    <x v="4"/>
    <x v="1"/>
    <n v="7"/>
    <x v="3"/>
    <n v="112"/>
    <n v="64"/>
    <n v="784"/>
    <n v="448"/>
    <n v="336"/>
    <n v="0.42857142857142855"/>
  </r>
  <r>
    <x v="77"/>
    <x v="1"/>
    <x v="1"/>
    <s v="Brown"/>
    <x v="1"/>
    <x v="3"/>
    <n v="5"/>
    <x v="2"/>
    <n v="54"/>
    <n v="28"/>
    <n v="270"/>
    <n v="140"/>
    <n v="130"/>
    <n v="0.48148148148148145"/>
  </r>
  <r>
    <x v="78"/>
    <x v="5"/>
    <x v="0"/>
    <s v="Green"/>
    <x v="4"/>
    <x v="1"/>
    <n v="14"/>
    <x v="2"/>
    <n v="105"/>
    <n v="58"/>
    <n v="1470"/>
    <n v="812"/>
    <n v="658"/>
    <n v="0.44761904761904764"/>
  </r>
  <r>
    <x v="79"/>
    <x v="7"/>
    <x v="3"/>
    <s v="Red"/>
    <x v="1"/>
    <x v="5"/>
    <n v="6"/>
    <x v="2"/>
    <n v="119"/>
    <n v="67"/>
    <n v="714"/>
    <n v="402"/>
    <n v="312"/>
    <n v="0.43697478991596639"/>
  </r>
  <r>
    <x v="80"/>
    <x v="7"/>
    <x v="2"/>
    <s v="Red"/>
    <x v="0"/>
    <x v="1"/>
    <n v="7"/>
    <x v="1"/>
    <n v="119"/>
    <n v="67"/>
    <n v="833"/>
    <n v="469"/>
    <n v="364"/>
    <n v="0.43697478991596639"/>
  </r>
  <r>
    <x v="81"/>
    <x v="1"/>
    <x v="0"/>
    <s v="Green"/>
    <x v="1"/>
    <x v="2"/>
    <n v="9"/>
    <x v="0"/>
    <n v="54"/>
    <n v="28"/>
    <n v="486"/>
    <n v="252"/>
    <n v="234"/>
    <n v="0.48148148148148145"/>
  </r>
  <r>
    <x v="82"/>
    <x v="0"/>
    <x v="0"/>
    <s v="Blue"/>
    <x v="4"/>
    <x v="4"/>
    <n v="10"/>
    <x v="1"/>
    <n v="89"/>
    <n v="47"/>
    <n v="890"/>
    <n v="470"/>
    <n v="420"/>
    <n v="0.47191011235955055"/>
  </r>
  <r>
    <x v="21"/>
    <x v="6"/>
    <x v="2"/>
    <s v="Red"/>
    <x v="0"/>
    <x v="11"/>
    <n v="6"/>
    <x v="1"/>
    <n v="112"/>
    <n v="64"/>
    <n v="672"/>
    <n v="384"/>
    <n v="288"/>
    <n v="0.42857142857142855"/>
  </r>
  <r>
    <x v="56"/>
    <x v="5"/>
    <x v="3"/>
    <s v="Brown"/>
    <x v="1"/>
    <x v="3"/>
    <n v="12"/>
    <x v="1"/>
    <n v="105"/>
    <n v="58"/>
    <n v="1260"/>
    <n v="696"/>
    <n v="564"/>
    <n v="0.44761904761904764"/>
  </r>
  <r>
    <x v="83"/>
    <x v="3"/>
    <x v="2"/>
    <s v="Brown"/>
    <x v="3"/>
    <x v="8"/>
    <n v="4"/>
    <x v="0"/>
    <n v="76"/>
    <n v="39"/>
    <n v="304"/>
    <n v="156"/>
    <n v="148"/>
    <n v="0.48684210526315791"/>
  </r>
  <r>
    <x v="84"/>
    <x v="0"/>
    <x v="0"/>
    <s v="Black"/>
    <x v="3"/>
    <x v="4"/>
    <n v="8"/>
    <x v="3"/>
    <n v="89"/>
    <n v="47"/>
    <n v="712"/>
    <n v="376"/>
    <n v="336"/>
    <n v="0.47191011235955055"/>
  </r>
  <r>
    <x v="85"/>
    <x v="2"/>
    <x v="0"/>
    <s v="Blue"/>
    <x v="1"/>
    <x v="0"/>
    <n v="8"/>
    <x v="2"/>
    <n v="32"/>
    <n v="14"/>
    <n v="256"/>
    <n v="112"/>
    <n v="144"/>
    <n v="0.5625"/>
  </r>
  <r>
    <x v="71"/>
    <x v="7"/>
    <x v="1"/>
    <s v="Brown"/>
    <x v="3"/>
    <x v="3"/>
    <n v="6"/>
    <x v="1"/>
    <n v="119"/>
    <n v="67"/>
    <n v="714"/>
    <n v="402"/>
    <n v="312"/>
    <n v="0.43697478991596639"/>
  </r>
  <r>
    <x v="29"/>
    <x v="0"/>
    <x v="3"/>
    <s v="Black"/>
    <x v="2"/>
    <x v="0"/>
    <n v="9"/>
    <x v="1"/>
    <n v="89"/>
    <n v="47"/>
    <n v="801"/>
    <n v="423"/>
    <n v="378"/>
    <n v="0.47191011235955055"/>
  </r>
  <r>
    <x v="44"/>
    <x v="3"/>
    <x v="2"/>
    <s v="Brown"/>
    <x v="3"/>
    <x v="3"/>
    <n v="2"/>
    <x v="3"/>
    <n v="76"/>
    <n v="39"/>
    <n v="152"/>
    <n v="78"/>
    <n v="74"/>
    <n v="0.48684210526315791"/>
  </r>
  <r>
    <x v="85"/>
    <x v="6"/>
    <x v="0"/>
    <s v="Brown"/>
    <x v="3"/>
    <x v="6"/>
    <n v="4"/>
    <x v="2"/>
    <n v="112"/>
    <n v="64"/>
    <n v="448"/>
    <n v="256"/>
    <n v="192"/>
    <n v="0.42857142857142855"/>
  </r>
  <r>
    <x v="72"/>
    <x v="0"/>
    <x v="0"/>
    <s v="Red"/>
    <x v="3"/>
    <x v="3"/>
    <n v="15"/>
    <x v="2"/>
    <n v="89"/>
    <n v="47"/>
    <n v="1335"/>
    <n v="705"/>
    <n v="630"/>
    <n v="0.47191011235955055"/>
  </r>
  <r>
    <x v="4"/>
    <x v="3"/>
    <x v="1"/>
    <s v="Red"/>
    <x v="3"/>
    <x v="5"/>
    <n v="15"/>
    <x v="0"/>
    <n v="76"/>
    <n v="39"/>
    <n v="1140"/>
    <n v="585"/>
    <n v="555"/>
    <n v="0.48684210526315791"/>
  </r>
  <r>
    <x v="86"/>
    <x v="2"/>
    <x v="0"/>
    <s v="Green"/>
    <x v="1"/>
    <x v="10"/>
    <n v="8"/>
    <x v="1"/>
    <n v="32"/>
    <n v="14"/>
    <n v="256"/>
    <n v="112"/>
    <n v="144"/>
    <n v="0.5625"/>
  </r>
  <r>
    <x v="87"/>
    <x v="0"/>
    <x v="2"/>
    <s v="Brown"/>
    <x v="0"/>
    <x v="3"/>
    <n v="7"/>
    <x v="1"/>
    <n v="89"/>
    <n v="47"/>
    <n v="623"/>
    <n v="329"/>
    <n v="294"/>
    <n v="0.47191011235955055"/>
  </r>
  <r>
    <x v="88"/>
    <x v="7"/>
    <x v="2"/>
    <s v="Red"/>
    <x v="1"/>
    <x v="7"/>
    <n v="8"/>
    <x v="0"/>
    <n v="119"/>
    <n v="67"/>
    <n v="952"/>
    <n v="536"/>
    <n v="416"/>
    <n v="0.43697478991596639"/>
  </r>
  <r>
    <x v="2"/>
    <x v="0"/>
    <x v="0"/>
    <s v="Red"/>
    <x v="4"/>
    <x v="4"/>
    <n v="13"/>
    <x v="2"/>
    <n v="89"/>
    <n v="47"/>
    <n v="1157"/>
    <n v="611"/>
    <n v="546"/>
    <n v="0.47191011235955055"/>
  </r>
  <r>
    <x v="55"/>
    <x v="5"/>
    <x v="0"/>
    <s v="Green"/>
    <x v="0"/>
    <x v="3"/>
    <n v="14"/>
    <x v="0"/>
    <n v="105"/>
    <n v="58"/>
    <n v="1470"/>
    <n v="812"/>
    <n v="658"/>
    <n v="0.44761904761904764"/>
  </r>
  <r>
    <x v="89"/>
    <x v="0"/>
    <x v="0"/>
    <s v="Green"/>
    <x v="1"/>
    <x v="13"/>
    <n v="12"/>
    <x v="2"/>
    <n v="89"/>
    <n v="47"/>
    <n v="1068"/>
    <n v="564"/>
    <n v="504"/>
    <n v="0.47191011235955055"/>
  </r>
  <r>
    <x v="90"/>
    <x v="4"/>
    <x v="3"/>
    <s v="Green"/>
    <x v="1"/>
    <x v="8"/>
    <n v="10"/>
    <x v="1"/>
    <n v="128"/>
    <n v="72"/>
    <n v="1280"/>
    <n v="720"/>
    <n v="560"/>
    <n v="0.4375"/>
  </r>
  <r>
    <x v="12"/>
    <x v="6"/>
    <x v="0"/>
    <s v="Blue"/>
    <x v="1"/>
    <x v="10"/>
    <n v="6"/>
    <x v="1"/>
    <n v="112"/>
    <n v="64"/>
    <n v="672"/>
    <n v="384"/>
    <n v="288"/>
    <n v="0.42857142857142855"/>
  </r>
  <r>
    <x v="56"/>
    <x v="0"/>
    <x v="3"/>
    <s v="Brown"/>
    <x v="3"/>
    <x v="0"/>
    <n v="13"/>
    <x v="1"/>
    <n v="89"/>
    <n v="47"/>
    <n v="1157"/>
    <n v="611"/>
    <n v="546"/>
    <n v="0.47191011235955055"/>
  </r>
  <r>
    <x v="83"/>
    <x v="2"/>
    <x v="0"/>
    <s v="Green"/>
    <x v="1"/>
    <x v="1"/>
    <n v="4"/>
    <x v="3"/>
    <n v="32"/>
    <n v="14"/>
    <n v="128"/>
    <n v="56"/>
    <n v="72"/>
    <n v="0.5625"/>
  </r>
  <r>
    <x v="16"/>
    <x v="3"/>
    <x v="0"/>
    <s v="Black"/>
    <x v="1"/>
    <x v="3"/>
    <n v="12"/>
    <x v="0"/>
    <n v="76"/>
    <n v="39"/>
    <n v="912"/>
    <n v="468"/>
    <n v="444"/>
    <n v="0.48684210526315791"/>
  </r>
  <r>
    <x v="91"/>
    <x v="0"/>
    <x v="0"/>
    <s v="Green"/>
    <x v="3"/>
    <x v="5"/>
    <n v="5"/>
    <x v="3"/>
    <n v="89"/>
    <n v="47"/>
    <n v="445"/>
    <n v="235"/>
    <n v="210"/>
    <n v="0.47191011235955055"/>
  </r>
  <r>
    <x v="92"/>
    <x v="1"/>
    <x v="1"/>
    <s v="Red"/>
    <x v="0"/>
    <x v="7"/>
    <n v="7"/>
    <x v="0"/>
    <n v="54"/>
    <n v="28"/>
    <n v="378"/>
    <n v="196"/>
    <n v="182"/>
    <n v="0.48148148148148145"/>
  </r>
  <r>
    <x v="93"/>
    <x v="1"/>
    <x v="0"/>
    <s v="Brown"/>
    <x v="2"/>
    <x v="3"/>
    <n v="15"/>
    <x v="0"/>
    <n v="54"/>
    <n v="28"/>
    <n v="810"/>
    <n v="420"/>
    <n v="390"/>
    <n v="0.48148148148148145"/>
  </r>
  <r>
    <x v="49"/>
    <x v="5"/>
    <x v="0"/>
    <s v="Red"/>
    <x v="1"/>
    <x v="8"/>
    <n v="15"/>
    <x v="0"/>
    <n v="105"/>
    <n v="58"/>
    <n v="1575"/>
    <n v="870"/>
    <n v="705"/>
    <n v="0.44761904761904764"/>
  </r>
  <r>
    <x v="22"/>
    <x v="2"/>
    <x v="0"/>
    <s v="Red"/>
    <x v="1"/>
    <x v="10"/>
    <n v="5"/>
    <x v="0"/>
    <n v="32"/>
    <n v="14"/>
    <n v="160"/>
    <n v="70"/>
    <n v="90"/>
    <n v="0.5625"/>
  </r>
  <r>
    <x v="94"/>
    <x v="7"/>
    <x v="2"/>
    <s v="Blue"/>
    <x v="4"/>
    <x v="12"/>
    <n v="3"/>
    <x v="2"/>
    <n v="119"/>
    <n v="67"/>
    <n v="357"/>
    <n v="201"/>
    <n v="156"/>
    <n v="0.43697478991596639"/>
  </r>
  <r>
    <x v="53"/>
    <x v="5"/>
    <x v="0"/>
    <s v="Blue"/>
    <x v="0"/>
    <x v="0"/>
    <n v="14"/>
    <x v="2"/>
    <n v="105"/>
    <n v="58"/>
    <n v="1470"/>
    <n v="812"/>
    <n v="658"/>
    <n v="0.44761904761904764"/>
  </r>
  <r>
    <x v="95"/>
    <x v="6"/>
    <x v="0"/>
    <s v="Black"/>
    <x v="1"/>
    <x v="9"/>
    <n v="7"/>
    <x v="2"/>
    <n v="112"/>
    <n v="64"/>
    <n v="784"/>
    <n v="448"/>
    <n v="336"/>
    <n v="0.42857142857142855"/>
  </r>
  <r>
    <x v="96"/>
    <x v="2"/>
    <x v="1"/>
    <s v="Brown"/>
    <x v="3"/>
    <x v="2"/>
    <n v="8"/>
    <x v="2"/>
    <n v="32"/>
    <n v="14"/>
    <n v="256"/>
    <n v="112"/>
    <n v="144"/>
    <n v="0.5625"/>
  </r>
  <r>
    <x v="97"/>
    <x v="3"/>
    <x v="0"/>
    <s v="Green"/>
    <x v="3"/>
    <x v="2"/>
    <n v="3"/>
    <x v="1"/>
    <n v="76"/>
    <n v="39"/>
    <n v="228"/>
    <n v="117"/>
    <n v="111"/>
    <n v="0.48684210526315791"/>
  </r>
  <r>
    <x v="98"/>
    <x v="5"/>
    <x v="0"/>
    <s v="Brown"/>
    <x v="3"/>
    <x v="13"/>
    <n v="10"/>
    <x v="1"/>
    <n v="105"/>
    <n v="58"/>
    <n v="1050"/>
    <n v="580"/>
    <n v="470"/>
    <n v="0.44761904761904764"/>
  </r>
  <r>
    <x v="99"/>
    <x v="2"/>
    <x v="0"/>
    <s v="Red"/>
    <x v="1"/>
    <x v="10"/>
    <n v="15"/>
    <x v="3"/>
    <n v="32"/>
    <n v="14"/>
    <n v="480"/>
    <n v="210"/>
    <n v="270"/>
    <n v="0.5625"/>
  </r>
  <r>
    <x v="100"/>
    <x v="1"/>
    <x v="0"/>
    <s v="Green"/>
    <x v="2"/>
    <x v="13"/>
    <n v="8"/>
    <x v="2"/>
    <n v="54"/>
    <n v="28"/>
    <n v="432"/>
    <n v="224"/>
    <n v="208"/>
    <n v="0.48148148148148145"/>
  </r>
  <r>
    <x v="101"/>
    <x v="3"/>
    <x v="2"/>
    <s v="Green"/>
    <x v="4"/>
    <x v="7"/>
    <n v="9"/>
    <x v="3"/>
    <n v="76"/>
    <n v="39"/>
    <n v="684"/>
    <n v="351"/>
    <n v="333"/>
    <n v="0.48684210526315791"/>
  </r>
  <r>
    <x v="81"/>
    <x v="7"/>
    <x v="0"/>
    <s v="Black"/>
    <x v="3"/>
    <x v="11"/>
    <n v="10"/>
    <x v="0"/>
    <n v="119"/>
    <n v="67"/>
    <n v="1190"/>
    <n v="670"/>
    <n v="520"/>
    <n v="0.43697478991596639"/>
  </r>
  <r>
    <x v="53"/>
    <x v="6"/>
    <x v="0"/>
    <s v="Red"/>
    <x v="0"/>
    <x v="6"/>
    <n v="6"/>
    <x v="1"/>
    <n v="112"/>
    <n v="64"/>
    <n v="672"/>
    <n v="384"/>
    <n v="288"/>
    <n v="0.42857142857142855"/>
  </r>
  <r>
    <x v="102"/>
    <x v="4"/>
    <x v="0"/>
    <s v="Blue"/>
    <x v="3"/>
    <x v="10"/>
    <n v="7"/>
    <x v="1"/>
    <n v="128"/>
    <n v="72"/>
    <n v="896"/>
    <n v="504"/>
    <n v="392"/>
    <n v="0.4375"/>
  </r>
  <r>
    <x v="28"/>
    <x v="3"/>
    <x v="3"/>
    <s v="Red"/>
    <x v="4"/>
    <x v="4"/>
    <n v="15"/>
    <x v="2"/>
    <n v="76"/>
    <n v="39"/>
    <n v="1140"/>
    <n v="585"/>
    <n v="555"/>
    <n v="0.48684210526315791"/>
  </r>
  <r>
    <x v="79"/>
    <x v="0"/>
    <x v="0"/>
    <s v="Blue"/>
    <x v="3"/>
    <x v="6"/>
    <n v="11"/>
    <x v="0"/>
    <n v="89"/>
    <n v="47"/>
    <n v="979"/>
    <n v="517"/>
    <n v="462"/>
    <n v="0.47191011235955055"/>
  </r>
  <r>
    <x v="103"/>
    <x v="4"/>
    <x v="2"/>
    <s v="Red"/>
    <x v="0"/>
    <x v="1"/>
    <n v="8"/>
    <x v="1"/>
    <n v="128"/>
    <n v="72"/>
    <n v="1024"/>
    <n v="576"/>
    <n v="448"/>
    <n v="0.4375"/>
  </r>
  <r>
    <x v="104"/>
    <x v="0"/>
    <x v="0"/>
    <s v="Green"/>
    <x v="3"/>
    <x v="9"/>
    <n v="8"/>
    <x v="0"/>
    <n v="89"/>
    <n v="47"/>
    <n v="712"/>
    <n v="376"/>
    <n v="336"/>
    <n v="0.47191011235955055"/>
  </r>
  <r>
    <x v="22"/>
    <x v="4"/>
    <x v="1"/>
    <s v="Brown"/>
    <x v="0"/>
    <x v="6"/>
    <n v="2"/>
    <x v="3"/>
    <n v="128"/>
    <n v="72"/>
    <n v="256"/>
    <n v="144"/>
    <n v="112"/>
    <n v="0.4375"/>
  </r>
  <r>
    <x v="46"/>
    <x v="5"/>
    <x v="0"/>
    <s v="Red"/>
    <x v="1"/>
    <x v="4"/>
    <n v="12"/>
    <x v="1"/>
    <n v="105"/>
    <n v="58"/>
    <n v="1260"/>
    <n v="696"/>
    <n v="564"/>
    <n v="0.44761904761904764"/>
  </r>
  <r>
    <x v="105"/>
    <x v="4"/>
    <x v="0"/>
    <s v="Blue"/>
    <x v="3"/>
    <x v="13"/>
    <n v="13"/>
    <x v="2"/>
    <n v="128"/>
    <n v="72"/>
    <n v="1664"/>
    <n v="936"/>
    <n v="728"/>
    <n v="0.4375"/>
  </r>
  <r>
    <x v="47"/>
    <x v="1"/>
    <x v="2"/>
    <s v="Black"/>
    <x v="2"/>
    <x v="13"/>
    <n v="3"/>
    <x v="0"/>
    <n v="54"/>
    <n v="28"/>
    <n v="162"/>
    <n v="84"/>
    <n v="78"/>
    <n v="0.48148148148148145"/>
  </r>
  <r>
    <x v="4"/>
    <x v="4"/>
    <x v="0"/>
    <s v="Black"/>
    <x v="3"/>
    <x v="7"/>
    <n v="11"/>
    <x v="1"/>
    <n v="128"/>
    <n v="72"/>
    <n v="1408"/>
    <n v="792"/>
    <n v="616"/>
    <n v="0.4375"/>
  </r>
  <r>
    <x v="54"/>
    <x v="6"/>
    <x v="0"/>
    <s v="Red"/>
    <x v="3"/>
    <x v="3"/>
    <n v="3"/>
    <x v="0"/>
    <n v="112"/>
    <n v="64"/>
    <n v="336"/>
    <n v="192"/>
    <n v="144"/>
    <n v="0.42857142857142855"/>
  </r>
  <r>
    <x v="106"/>
    <x v="5"/>
    <x v="3"/>
    <s v="Green"/>
    <x v="3"/>
    <x v="3"/>
    <n v="14"/>
    <x v="1"/>
    <n v="105"/>
    <n v="58"/>
    <n v="1470"/>
    <n v="812"/>
    <n v="658"/>
    <n v="0.44761904761904764"/>
  </r>
  <r>
    <x v="98"/>
    <x v="7"/>
    <x v="2"/>
    <s v="Brown"/>
    <x v="1"/>
    <x v="3"/>
    <n v="1"/>
    <x v="2"/>
    <n v="119"/>
    <n v="67"/>
    <n v="119"/>
    <n v="67"/>
    <n v="52"/>
    <n v="0.43697478991596639"/>
  </r>
  <r>
    <x v="107"/>
    <x v="6"/>
    <x v="0"/>
    <s v="Green"/>
    <x v="4"/>
    <x v="13"/>
    <n v="10"/>
    <x v="0"/>
    <n v="112"/>
    <n v="64"/>
    <n v="1120"/>
    <n v="640"/>
    <n v="480"/>
    <n v="0.42857142857142855"/>
  </r>
  <r>
    <x v="97"/>
    <x v="0"/>
    <x v="0"/>
    <s v="Green"/>
    <x v="0"/>
    <x v="2"/>
    <n v="7"/>
    <x v="0"/>
    <n v="89"/>
    <n v="47"/>
    <n v="623"/>
    <n v="329"/>
    <n v="294"/>
    <n v="0.47191011235955055"/>
  </r>
  <r>
    <x v="15"/>
    <x v="5"/>
    <x v="1"/>
    <s v="Brown"/>
    <x v="3"/>
    <x v="10"/>
    <n v="6"/>
    <x v="3"/>
    <n v="105"/>
    <n v="58"/>
    <n v="630"/>
    <n v="348"/>
    <n v="282"/>
    <n v="0.44761904761904764"/>
  </r>
  <r>
    <x v="1"/>
    <x v="6"/>
    <x v="1"/>
    <s v="Brown"/>
    <x v="0"/>
    <x v="8"/>
    <n v="8"/>
    <x v="0"/>
    <n v="112"/>
    <n v="64"/>
    <n v="896"/>
    <n v="512"/>
    <n v="384"/>
    <n v="0.42857142857142855"/>
  </r>
  <r>
    <x v="108"/>
    <x v="3"/>
    <x v="0"/>
    <s v="Green"/>
    <x v="3"/>
    <x v="2"/>
    <n v="13"/>
    <x v="1"/>
    <n v="76"/>
    <n v="39"/>
    <n v="988"/>
    <n v="507"/>
    <n v="481"/>
    <n v="0.48684210526315791"/>
  </r>
  <r>
    <x v="54"/>
    <x v="4"/>
    <x v="0"/>
    <s v="Black"/>
    <x v="2"/>
    <x v="1"/>
    <n v="11"/>
    <x v="1"/>
    <n v="128"/>
    <n v="72"/>
    <n v="1408"/>
    <n v="792"/>
    <n v="616"/>
    <n v="0.4375"/>
  </r>
  <r>
    <x v="59"/>
    <x v="6"/>
    <x v="0"/>
    <s v="Brown"/>
    <x v="3"/>
    <x v="4"/>
    <n v="8"/>
    <x v="3"/>
    <n v="112"/>
    <n v="64"/>
    <n v="896"/>
    <n v="512"/>
    <n v="384"/>
    <n v="0.42857142857142855"/>
  </r>
  <r>
    <x v="109"/>
    <x v="1"/>
    <x v="0"/>
    <s v="Black"/>
    <x v="4"/>
    <x v="7"/>
    <n v="13"/>
    <x v="3"/>
    <n v="54"/>
    <n v="28"/>
    <n v="702"/>
    <n v="364"/>
    <n v="338"/>
    <n v="0.48148148148148145"/>
  </r>
  <r>
    <x v="109"/>
    <x v="0"/>
    <x v="1"/>
    <s v="Blue"/>
    <x v="3"/>
    <x v="1"/>
    <n v="12"/>
    <x v="2"/>
    <n v="89"/>
    <n v="47"/>
    <n v="1068"/>
    <n v="564"/>
    <n v="504"/>
    <n v="0.47191011235955055"/>
  </r>
  <r>
    <x v="110"/>
    <x v="3"/>
    <x v="2"/>
    <s v="Green"/>
    <x v="1"/>
    <x v="8"/>
    <n v="1"/>
    <x v="1"/>
    <n v="76"/>
    <n v="39"/>
    <n v="76"/>
    <n v="39"/>
    <n v="37"/>
    <n v="0.48684210526315791"/>
  </r>
  <r>
    <x v="71"/>
    <x v="1"/>
    <x v="0"/>
    <s v="Red"/>
    <x v="1"/>
    <x v="3"/>
    <n v="10"/>
    <x v="3"/>
    <n v="54"/>
    <n v="28"/>
    <n v="540"/>
    <n v="280"/>
    <n v="260"/>
    <n v="0.48148148148148145"/>
  </r>
  <r>
    <x v="57"/>
    <x v="0"/>
    <x v="2"/>
    <s v="Red"/>
    <x v="4"/>
    <x v="3"/>
    <n v="15"/>
    <x v="2"/>
    <n v="89"/>
    <n v="47"/>
    <n v="1335"/>
    <n v="705"/>
    <n v="630"/>
    <n v="0.47191011235955055"/>
  </r>
  <r>
    <x v="41"/>
    <x v="7"/>
    <x v="0"/>
    <s v="Brown"/>
    <x v="1"/>
    <x v="2"/>
    <n v="3"/>
    <x v="3"/>
    <n v="119"/>
    <n v="67"/>
    <n v="357"/>
    <n v="201"/>
    <n v="156"/>
    <n v="0.43697478991596639"/>
  </r>
  <r>
    <x v="58"/>
    <x v="3"/>
    <x v="2"/>
    <s v="Blue"/>
    <x v="4"/>
    <x v="1"/>
    <n v="1"/>
    <x v="0"/>
    <n v="76"/>
    <n v="39"/>
    <n v="76"/>
    <n v="39"/>
    <n v="37"/>
    <n v="0.48684210526315791"/>
  </r>
  <r>
    <x v="111"/>
    <x v="1"/>
    <x v="2"/>
    <s v="Red"/>
    <x v="1"/>
    <x v="4"/>
    <n v="9"/>
    <x v="2"/>
    <n v="54"/>
    <n v="28"/>
    <n v="486"/>
    <n v="252"/>
    <n v="234"/>
    <n v="0.48148148148148145"/>
  </r>
  <r>
    <x v="18"/>
    <x v="2"/>
    <x v="1"/>
    <s v="Black"/>
    <x v="3"/>
    <x v="7"/>
    <n v="13"/>
    <x v="0"/>
    <n v="32"/>
    <n v="14"/>
    <n v="416"/>
    <n v="182"/>
    <n v="234"/>
    <n v="0.5625"/>
  </r>
  <r>
    <x v="71"/>
    <x v="7"/>
    <x v="3"/>
    <s v="Black"/>
    <x v="1"/>
    <x v="10"/>
    <n v="10"/>
    <x v="1"/>
    <n v="119"/>
    <n v="67"/>
    <n v="1190"/>
    <n v="670"/>
    <n v="520"/>
    <n v="0.43697478991596639"/>
  </r>
  <r>
    <x v="59"/>
    <x v="0"/>
    <x v="0"/>
    <s v="Green"/>
    <x v="0"/>
    <x v="11"/>
    <n v="10"/>
    <x v="0"/>
    <n v="89"/>
    <n v="47"/>
    <n v="890"/>
    <n v="470"/>
    <n v="420"/>
    <n v="0.47191011235955055"/>
  </r>
  <r>
    <x v="36"/>
    <x v="4"/>
    <x v="0"/>
    <s v="Brown"/>
    <x v="3"/>
    <x v="5"/>
    <n v="15"/>
    <x v="1"/>
    <n v="128"/>
    <n v="72"/>
    <n v="1920"/>
    <n v="1080"/>
    <n v="840"/>
    <n v="0.4375"/>
  </r>
  <r>
    <x v="112"/>
    <x v="2"/>
    <x v="2"/>
    <s v="Red"/>
    <x v="3"/>
    <x v="6"/>
    <n v="9"/>
    <x v="3"/>
    <n v="32"/>
    <n v="14"/>
    <n v="288"/>
    <n v="126"/>
    <n v="162"/>
    <n v="0.5625"/>
  </r>
  <r>
    <x v="113"/>
    <x v="6"/>
    <x v="2"/>
    <s v="Brown"/>
    <x v="4"/>
    <x v="11"/>
    <n v="14"/>
    <x v="2"/>
    <n v="112"/>
    <n v="64"/>
    <n v="1568"/>
    <n v="896"/>
    <n v="672"/>
    <n v="0.42857142857142855"/>
  </r>
  <r>
    <x v="114"/>
    <x v="6"/>
    <x v="0"/>
    <s v="Black"/>
    <x v="1"/>
    <x v="4"/>
    <n v="14"/>
    <x v="3"/>
    <n v="112"/>
    <n v="64"/>
    <n v="1568"/>
    <n v="896"/>
    <n v="672"/>
    <n v="0.42857142857142855"/>
  </r>
  <r>
    <x v="77"/>
    <x v="4"/>
    <x v="0"/>
    <s v="Black"/>
    <x v="3"/>
    <x v="5"/>
    <n v="10"/>
    <x v="1"/>
    <n v="128"/>
    <n v="72"/>
    <n v="1280"/>
    <n v="720"/>
    <n v="560"/>
    <n v="0.4375"/>
  </r>
  <r>
    <x v="35"/>
    <x v="6"/>
    <x v="2"/>
    <s v="Green"/>
    <x v="3"/>
    <x v="6"/>
    <n v="15"/>
    <x v="0"/>
    <n v="112"/>
    <n v="64"/>
    <n v="1680"/>
    <n v="960"/>
    <n v="720"/>
    <n v="0.42857142857142855"/>
  </r>
  <r>
    <x v="56"/>
    <x v="2"/>
    <x v="2"/>
    <s v="Blue"/>
    <x v="2"/>
    <x v="7"/>
    <n v="5"/>
    <x v="3"/>
    <n v="32"/>
    <n v="14"/>
    <n v="160"/>
    <n v="70"/>
    <n v="90"/>
    <n v="0.5625"/>
  </r>
  <r>
    <x v="73"/>
    <x v="2"/>
    <x v="0"/>
    <s v="Brown"/>
    <x v="2"/>
    <x v="7"/>
    <n v="15"/>
    <x v="0"/>
    <n v="32"/>
    <n v="14"/>
    <n v="480"/>
    <n v="210"/>
    <n v="270"/>
    <n v="0.5625"/>
  </r>
  <r>
    <x v="78"/>
    <x v="4"/>
    <x v="2"/>
    <s v="Black"/>
    <x v="2"/>
    <x v="10"/>
    <n v="13"/>
    <x v="2"/>
    <n v="128"/>
    <n v="72"/>
    <n v="1664"/>
    <n v="936"/>
    <n v="728"/>
    <n v="0.4375"/>
  </r>
  <r>
    <x v="19"/>
    <x v="6"/>
    <x v="3"/>
    <s v="Green"/>
    <x v="2"/>
    <x v="1"/>
    <n v="9"/>
    <x v="2"/>
    <n v="112"/>
    <n v="64"/>
    <n v="1008"/>
    <n v="576"/>
    <n v="432"/>
    <n v="0.42857142857142855"/>
  </r>
  <r>
    <x v="115"/>
    <x v="2"/>
    <x v="1"/>
    <s v="Black"/>
    <x v="1"/>
    <x v="10"/>
    <n v="9"/>
    <x v="1"/>
    <n v="32"/>
    <n v="14"/>
    <n v="288"/>
    <n v="126"/>
    <n v="162"/>
    <n v="0.5625"/>
  </r>
  <r>
    <x v="116"/>
    <x v="7"/>
    <x v="2"/>
    <s v="Green"/>
    <x v="1"/>
    <x v="11"/>
    <n v="9"/>
    <x v="1"/>
    <n v="119"/>
    <n v="67"/>
    <n v="1071"/>
    <n v="603"/>
    <n v="468"/>
    <n v="0.43697478991596639"/>
  </r>
  <r>
    <x v="62"/>
    <x v="4"/>
    <x v="0"/>
    <s v="Blue"/>
    <x v="2"/>
    <x v="6"/>
    <n v="3"/>
    <x v="2"/>
    <n v="128"/>
    <n v="72"/>
    <n v="384"/>
    <n v="216"/>
    <n v="168"/>
    <n v="0.4375"/>
  </r>
  <r>
    <x v="110"/>
    <x v="6"/>
    <x v="2"/>
    <s v="Brown"/>
    <x v="3"/>
    <x v="4"/>
    <n v="2"/>
    <x v="3"/>
    <n v="112"/>
    <n v="64"/>
    <n v="224"/>
    <n v="128"/>
    <n v="96"/>
    <n v="0.42857142857142855"/>
  </r>
  <r>
    <x v="39"/>
    <x v="3"/>
    <x v="1"/>
    <s v="Red"/>
    <x v="4"/>
    <x v="8"/>
    <n v="6"/>
    <x v="0"/>
    <n v="76"/>
    <n v="39"/>
    <n v="456"/>
    <n v="234"/>
    <n v="222"/>
    <n v="0.48684210526315791"/>
  </r>
  <r>
    <x v="117"/>
    <x v="7"/>
    <x v="3"/>
    <s v="Brown"/>
    <x v="3"/>
    <x v="5"/>
    <n v="4"/>
    <x v="1"/>
    <n v="119"/>
    <n v="67"/>
    <n v="476"/>
    <n v="268"/>
    <n v="208"/>
    <n v="0.43697478991596639"/>
  </r>
  <r>
    <x v="118"/>
    <x v="7"/>
    <x v="0"/>
    <s v="Black"/>
    <x v="3"/>
    <x v="9"/>
    <n v="7"/>
    <x v="1"/>
    <n v="119"/>
    <n v="67"/>
    <n v="833"/>
    <n v="469"/>
    <n v="364"/>
    <n v="0.43697478991596639"/>
  </r>
  <r>
    <x v="67"/>
    <x v="1"/>
    <x v="2"/>
    <s v="Blue"/>
    <x v="3"/>
    <x v="2"/>
    <n v="14"/>
    <x v="1"/>
    <n v="54"/>
    <n v="28"/>
    <n v="756"/>
    <n v="392"/>
    <n v="364"/>
    <n v="0.48148148148148145"/>
  </r>
  <r>
    <x v="24"/>
    <x v="1"/>
    <x v="1"/>
    <s v="Red"/>
    <x v="0"/>
    <x v="12"/>
    <n v="12"/>
    <x v="0"/>
    <n v="54"/>
    <n v="28"/>
    <n v="648"/>
    <n v="336"/>
    <n v="312"/>
    <n v="0.48148148148148145"/>
  </r>
  <r>
    <x v="119"/>
    <x v="2"/>
    <x v="0"/>
    <s v="Red"/>
    <x v="3"/>
    <x v="3"/>
    <n v="11"/>
    <x v="1"/>
    <n v="32"/>
    <n v="14"/>
    <n v="352"/>
    <n v="154"/>
    <n v="198"/>
    <n v="0.5625"/>
  </r>
  <r>
    <x v="49"/>
    <x v="7"/>
    <x v="1"/>
    <s v="Green"/>
    <x v="3"/>
    <x v="3"/>
    <n v="4"/>
    <x v="0"/>
    <n v="119"/>
    <n v="67"/>
    <n v="476"/>
    <n v="268"/>
    <n v="208"/>
    <n v="0.43697478991596639"/>
  </r>
  <r>
    <x v="120"/>
    <x v="5"/>
    <x v="0"/>
    <s v="Red"/>
    <x v="0"/>
    <x v="11"/>
    <n v="4"/>
    <x v="0"/>
    <n v="105"/>
    <n v="58"/>
    <n v="420"/>
    <n v="232"/>
    <n v="188"/>
    <n v="0.44761904761904764"/>
  </r>
  <r>
    <x v="97"/>
    <x v="2"/>
    <x v="0"/>
    <s v="Black"/>
    <x v="3"/>
    <x v="9"/>
    <n v="3"/>
    <x v="1"/>
    <n v="32"/>
    <n v="14"/>
    <n v="96"/>
    <n v="42"/>
    <n v="54"/>
    <n v="0.5625"/>
  </r>
  <r>
    <x v="39"/>
    <x v="6"/>
    <x v="2"/>
    <s v="Brown"/>
    <x v="4"/>
    <x v="6"/>
    <n v="15"/>
    <x v="1"/>
    <n v="112"/>
    <n v="64"/>
    <n v="1680"/>
    <n v="960"/>
    <n v="720"/>
    <n v="0.42857142857142855"/>
  </r>
  <r>
    <x v="35"/>
    <x v="0"/>
    <x v="1"/>
    <s v="Blue"/>
    <x v="2"/>
    <x v="6"/>
    <n v="9"/>
    <x v="1"/>
    <n v="89"/>
    <n v="47"/>
    <n v="801"/>
    <n v="423"/>
    <n v="378"/>
    <n v="0.47191011235955055"/>
  </r>
  <r>
    <x v="82"/>
    <x v="4"/>
    <x v="3"/>
    <s v="Blue"/>
    <x v="3"/>
    <x v="5"/>
    <n v="12"/>
    <x v="0"/>
    <n v="128"/>
    <n v="72"/>
    <n v="1536"/>
    <n v="864"/>
    <n v="672"/>
    <n v="0.4375"/>
  </r>
  <r>
    <x v="121"/>
    <x v="6"/>
    <x v="3"/>
    <s v="Blue"/>
    <x v="3"/>
    <x v="4"/>
    <n v="5"/>
    <x v="2"/>
    <n v="112"/>
    <n v="64"/>
    <n v="560"/>
    <n v="320"/>
    <n v="240"/>
    <n v="0.42857142857142855"/>
  </r>
  <r>
    <x v="69"/>
    <x v="3"/>
    <x v="0"/>
    <s v="Brown"/>
    <x v="1"/>
    <x v="7"/>
    <n v="4"/>
    <x v="3"/>
    <n v="76"/>
    <n v="39"/>
    <n v="304"/>
    <n v="156"/>
    <n v="148"/>
    <n v="0.48684210526315791"/>
  </r>
  <r>
    <x v="81"/>
    <x v="0"/>
    <x v="1"/>
    <s v="Blue"/>
    <x v="3"/>
    <x v="13"/>
    <n v="10"/>
    <x v="1"/>
    <n v="89"/>
    <n v="47"/>
    <n v="890"/>
    <n v="470"/>
    <n v="420"/>
    <n v="0.47191011235955055"/>
  </r>
  <r>
    <x v="122"/>
    <x v="1"/>
    <x v="3"/>
    <s v="Red"/>
    <x v="2"/>
    <x v="4"/>
    <n v="4"/>
    <x v="3"/>
    <n v="54"/>
    <n v="28"/>
    <n v="216"/>
    <n v="112"/>
    <n v="104"/>
    <n v="0.48148148148148145"/>
  </r>
  <r>
    <x v="91"/>
    <x v="6"/>
    <x v="2"/>
    <s v="Green"/>
    <x v="1"/>
    <x v="5"/>
    <n v="1"/>
    <x v="0"/>
    <n v="112"/>
    <n v="64"/>
    <n v="112"/>
    <n v="64"/>
    <n v="48"/>
    <n v="0.42857142857142855"/>
  </r>
  <r>
    <x v="123"/>
    <x v="0"/>
    <x v="0"/>
    <s v="Blue"/>
    <x v="1"/>
    <x v="9"/>
    <n v="13"/>
    <x v="1"/>
    <n v="89"/>
    <n v="47"/>
    <n v="1157"/>
    <n v="611"/>
    <n v="546"/>
    <n v="0.47191011235955055"/>
  </r>
  <r>
    <x v="24"/>
    <x v="1"/>
    <x v="3"/>
    <s v="Brown"/>
    <x v="1"/>
    <x v="13"/>
    <n v="7"/>
    <x v="1"/>
    <n v="54"/>
    <n v="28"/>
    <n v="378"/>
    <n v="196"/>
    <n v="182"/>
    <n v="0.48148148148148145"/>
  </r>
  <r>
    <x v="71"/>
    <x v="2"/>
    <x v="0"/>
    <s v="Brown"/>
    <x v="1"/>
    <x v="6"/>
    <n v="10"/>
    <x v="2"/>
    <n v="32"/>
    <n v="14"/>
    <n v="320"/>
    <n v="140"/>
    <n v="180"/>
    <n v="0.5625"/>
  </r>
  <r>
    <x v="124"/>
    <x v="0"/>
    <x v="0"/>
    <s v="Brown"/>
    <x v="3"/>
    <x v="11"/>
    <n v="5"/>
    <x v="2"/>
    <n v="89"/>
    <n v="47"/>
    <n v="445"/>
    <n v="235"/>
    <n v="210"/>
    <n v="0.47191011235955055"/>
  </r>
  <r>
    <x v="125"/>
    <x v="3"/>
    <x v="2"/>
    <s v="Red"/>
    <x v="1"/>
    <x v="6"/>
    <n v="2"/>
    <x v="3"/>
    <n v="76"/>
    <n v="39"/>
    <n v="152"/>
    <n v="78"/>
    <n v="74"/>
    <n v="0.48684210526315791"/>
  </r>
  <r>
    <x v="113"/>
    <x v="2"/>
    <x v="2"/>
    <s v="Brown"/>
    <x v="1"/>
    <x v="3"/>
    <n v="8"/>
    <x v="1"/>
    <n v="32"/>
    <n v="14"/>
    <n v="256"/>
    <n v="112"/>
    <n v="144"/>
    <n v="0.5625"/>
  </r>
  <r>
    <x v="81"/>
    <x v="6"/>
    <x v="0"/>
    <s v="Brown"/>
    <x v="3"/>
    <x v="8"/>
    <n v="4"/>
    <x v="1"/>
    <n v="112"/>
    <n v="64"/>
    <n v="448"/>
    <n v="256"/>
    <n v="192"/>
    <n v="0.42857142857142855"/>
  </r>
  <r>
    <x v="126"/>
    <x v="1"/>
    <x v="2"/>
    <s v="Red"/>
    <x v="4"/>
    <x v="8"/>
    <n v="10"/>
    <x v="1"/>
    <n v="54"/>
    <n v="28"/>
    <n v="540"/>
    <n v="280"/>
    <n v="260"/>
    <n v="0.48148148148148145"/>
  </r>
  <r>
    <x v="127"/>
    <x v="6"/>
    <x v="1"/>
    <s v="Green"/>
    <x v="1"/>
    <x v="11"/>
    <n v="12"/>
    <x v="0"/>
    <n v="112"/>
    <n v="64"/>
    <n v="1344"/>
    <n v="768"/>
    <n v="576"/>
    <n v="0.42857142857142855"/>
  </r>
  <r>
    <x v="69"/>
    <x v="3"/>
    <x v="0"/>
    <s v="Green"/>
    <x v="3"/>
    <x v="0"/>
    <n v="4"/>
    <x v="1"/>
    <n v="76"/>
    <n v="39"/>
    <n v="304"/>
    <n v="156"/>
    <n v="148"/>
    <n v="0.48684210526315791"/>
  </r>
  <r>
    <x v="25"/>
    <x v="3"/>
    <x v="0"/>
    <s v="Brown"/>
    <x v="3"/>
    <x v="5"/>
    <n v="6"/>
    <x v="2"/>
    <n v="76"/>
    <n v="39"/>
    <n v="456"/>
    <n v="234"/>
    <n v="222"/>
    <n v="0.48684210526315791"/>
  </r>
  <r>
    <x v="128"/>
    <x v="6"/>
    <x v="0"/>
    <s v="Red"/>
    <x v="0"/>
    <x v="2"/>
    <n v="4"/>
    <x v="1"/>
    <n v="112"/>
    <n v="64"/>
    <n v="448"/>
    <n v="256"/>
    <n v="192"/>
    <n v="0.42857142857142855"/>
  </r>
  <r>
    <x v="129"/>
    <x v="2"/>
    <x v="0"/>
    <s v="Green"/>
    <x v="2"/>
    <x v="0"/>
    <n v="5"/>
    <x v="1"/>
    <n v="32"/>
    <n v="14"/>
    <n v="160"/>
    <n v="70"/>
    <n v="90"/>
    <n v="0.5625"/>
  </r>
  <r>
    <x v="11"/>
    <x v="1"/>
    <x v="2"/>
    <s v="Green"/>
    <x v="1"/>
    <x v="5"/>
    <n v="5"/>
    <x v="1"/>
    <n v="54"/>
    <n v="28"/>
    <n v="270"/>
    <n v="140"/>
    <n v="130"/>
    <n v="0.48148148148148145"/>
  </r>
  <r>
    <x v="87"/>
    <x v="4"/>
    <x v="3"/>
    <s v="Black"/>
    <x v="2"/>
    <x v="13"/>
    <n v="11"/>
    <x v="0"/>
    <n v="128"/>
    <n v="72"/>
    <n v="1408"/>
    <n v="792"/>
    <n v="616"/>
    <n v="0.4375"/>
  </r>
  <r>
    <x v="76"/>
    <x v="4"/>
    <x v="3"/>
    <s v="Black"/>
    <x v="4"/>
    <x v="0"/>
    <n v="3"/>
    <x v="0"/>
    <n v="128"/>
    <n v="72"/>
    <n v="384"/>
    <n v="216"/>
    <n v="168"/>
    <n v="0.4375"/>
  </r>
  <r>
    <x v="130"/>
    <x v="0"/>
    <x v="0"/>
    <s v="Green"/>
    <x v="1"/>
    <x v="3"/>
    <n v="4"/>
    <x v="1"/>
    <n v="89"/>
    <n v="47"/>
    <n v="356"/>
    <n v="188"/>
    <n v="168"/>
    <n v="0.47191011235955055"/>
  </r>
  <r>
    <x v="71"/>
    <x v="5"/>
    <x v="2"/>
    <s v="Blue"/>
    <x v="0"/>
    <x v="10"/>
    <n v="8"/>
    <x v="2"/>
    <n v="105"/>
    <n v="58"/>
    <n v="840"/>
    <n v="464"/>
    <n v="376"/>
    <n v="0.44761904761904764"/>
  </r>
  <r>
    <x v="65"/>
    <x v="4"/>
    <x v="3"/>
    <s v="Red"/>
    <x v="3"/>
    <x v="0"/>
    <n v="8"/>
    <x v="2"/>
    <n v="128"/>
    <n v="72"/>
    <n v="1024"/>
    <n v="576"/>
    <n v="448"/>
    <n v="0.4375"/>
  </r>
  <r>
    <x v="131"/>
    <x v="3"/>
    <x v="0"/>
    <s v="Blue"/>
    <x v="3"/>
    <x v="1"/>
    <n v="8"/>
    <x v="2"/>
    <n v="76"/>
    <n v="39"/>
    <n v="608"/>
    <n v="312"/>
    <n v="296"/>
    <n v="0.48684210526315791"/>
  </r>
  <r>
    <x v="132"/>
    <x v="2"/>
    <x v="1"/>
    <s v="Red"/>
    <x v="3"/>
    <x v="0"/>
    <n v="6"/>
    <x v="1"/>
    <n v="32"/>
    <n v="14"/>
    <n v="192"/>
    <n v="84"/>
    <n v="108"/>
    <n v="0.5625"/>
  </r>
  <r>
    <x v="133"/>
    <x v="3"/>
    <x v="2"/>
    <s v="Brown"/>
    <x v="2"/>
    <x v="2"/>
    <n v="4"/>
    <x v="3"/>
    <n v="76"/>
    <n v="39"/>
    <n v="304"/>
    <n v="156"/>
    <n v="148"/>
    <n v="0.48684210526315791"/>
  </r>
  <r>
    <x v="134"/>
    <x v="0"/>
    <x v="0"/>
    <s v="Blue"/>
    <x v="3"/>
    <x v="6"/>
    <n v="14"/>
    <x v="3"/>
    <n v="89"/>
    <n v="47"/>
    <n v="1246"/>
    <n v="658"/>
    <n v="588"/>
    <n v="0.47191011235955055"/>
  </r>
  <r>
    <x v="135"/>
    <x v="0"/>
    <x v="0"/>
    <s v="Green"/>
    <x v="0"/>
    <x v="13"/>
    <n v="7"/>
    <x v="3"/>
    <n v="89"/>
    <n v="47"/>
    <n v="623"/>
    <n v="329"/>
    <n v="294"/>
    <n v="0.47191011235955055"/>
  </r>
  <r>
    <x v="136"/>
    <x v="6"/>
    <x v="0"/>
    <s v="Brown"/>
    <x v="2"/>
    <x v="8"/>
    <n v="8"/>
    <x v="0"/>
    <n v="112"/>
    <n v="64"/>
    <n v="896"/>
    <n v="512"/>
    <n v="384"/>
    <n v="0.42857142857142855"/>
  </r>
  <r>
    <x v="123"/>
    <x v="5"/>
    <x v="0"/>
    <s v="Black"/>
    <x v="1"/>
    <x v="5"/>
    <n v="12"/>
    <x v="1"/>
    <n v="105"/>
    <n v="58"/>
    <n v="1260"/>
    <n v="696"/>
    <n v="564"/>
    <n v="0.44761904761904764"/>
  </r>
  <r>
    <x v="137"/>
    <x v="7"/>
    <x v="0"/>
    <s v="Brown"/>
    <x v="4"/>
    <x v="3"/>
    <n v="8"/>
    <x v="1"/>
    <n v="119"/>
    <n v="67"/>
    <n v="952"/>
    <n v="536"/>
    <n v="416"/>
    <n v="0.43697478991596639"/>
  </r>
  <r>
    <x v="138"/>
    <x v="5"/>
    <x v="3"/>
    <s v="Red"/>
    <x v="0"/>
    <x v="11"/>
    <n v="11"/>
    <x v="2"/>
    <n v="105"/>
    <n v="58"/>
    <n v="1155"/>
    <n v="638"/>
    <n v="517"/>
    <n v="0.44761904761904764"/>
  </r>
  <r>
    <x v="119"/>
    <x v="3"/>
    <x v="1"/>
    <s v="Brown"/>
    <x v="3"/>
    <x v="10"/>
    <n v="2"/>
    <x v="3"/>
    <n v="76"/>
    <n v="39"/>
    <n v="152"/>
    <n v="78"/>
    <n v="74"/>
    <n v="0.48684210526315791"/>
  </r>
  <r>
    <x v="57"/>
    <x v="7"/>
    <x v="0"/>
    <s v="Green"/>
    <x v="4"/>
    <x v="13"/>
    <n v="7"/>
    <x v="0"/>
    <n v="119"/>
    <n v="67"/>
    <n v="833"/>
    <n v="469"/>
    <n v="364"/>
    <n v="0.43697478991596639"/>
  </r>
  <r>
    <x v="130"/>
    <x v="7"/>
    <x v="0"/>
    <s v="Blue"/>
    <x v="3"/>
    <x v="5"/>
    <n v="1"/>
    <x v="3"/>
    <n v="119"/>
    <n v="67"/>
    <n v="119"/>
    <n v="67"/>
    <n v="52"/>
    <n v="0.43697478991596639"/>
  </r>
  <r>
    <x v="34"/>
    <x v="2"/>
    <x v="1"/>
    <s v="Blue"/>
    <x v="0"/>
    <x v="12"/>
    <n v="11"/>
    <x v="2"/>
    <n v="32"/>
    <n v="14"/>
    <n v="352"/>
    <n v="154"/>
    <n v="198"/>
    <n v="0.5625"/>
  </r>
  <r>
    <x v="9"/>
    <x v="6"/>
    <x v="2"/>
    <s v="Brown"/>
    <x v="0"/>
    <x v="4"/>
    <n v="14"/>
    <x v="0"/>
    <n v="112"/>
    <n v="64"/>
    <n v="1568"/>
    <n v="896"/>
    <n v="672"/>
    <n v="0.42857142857142855"/>
  </r>
  <r>
    <x v="114"/>
    <x v="7"/>
    <x v="0"/>
    <s v="Brown"/>
    <x v="3"/>
    <x v="4"/>
    <n v="4"/>
    <x v="2"/>
    <n v="119"/>
    <n v="67"/>
    <n v="476"/>
    <n v="268"/>
    <n v="208"/>
    <n v="0.43697478991596639"/>
  </r>
  <r>
    <x v="65"/>
    <x v="3"/>
    <x v="0"/>
    <s v="Blue"/>
    <x v="1"/>
    <x v="7"/>
    <n v="5"/>
    <x v="1"/>
    <n v="76"/>
    <n v="39"/>
    <n v="380"/>
    <n v="195"/>
    <n v="185"/>
    <n v="0.48684210526315791"/>
  </r>
  <r>
    <x v="32"/>
    <x v="4"/>
    <x v="0"/>
    <s v="Brown"/>
    <x v="1"/>
    <x v="1"/>
    <n v="5"/>
    <x v="3"/>
    <n v="128"/>
    <n v="72"/>
    <n v="640"/>
    <n v="360"/>
    <n v="280"/>
    <n v="0.4375"/>
  </r>
  <r>
    <x v="29"/>
    <x v="2"/>
    <x v="0"/>
    <s v="Green"/>
    <x v="3"/>
    <x v="5"/>
    <n v="15"/>
    <x v="0"/>
    <n v="32"/>
    <n v="14"/>
    <n v="480"/>
    <n v="210"/>
    <n v="270"/>
    <n v="0.5625"/>
  </r>
  <r>
    <x v="54"/>
    <x v="3"/>
    <x v="0"/>
    <s v="Brown"/>
    <x v="1"/>
    <x v="5"/>
    <n v="14"/>
    <x v="1"/>
    <n v="76"/>
    <n v="39"/>
    <n v="1064"/>
    <n v="546"/>
    <n v="518"/>
    <n v="0.48684210526315791"/>
  </r>
  <r>
    <x v="112"/>
    <x v="1"/>
    <x v="3"/>
    <s v="Blue"/>
    <x v="2"/>
    <x v="0"/>
    <n v="6"/>
    <x v="3"/>
    <n v="54"/>
    <n v="28"/>
    <n v="324"/>
    <n v="168"/>
    <n v="156"/>
    <n v="0.48148148148148145"/>
  </r>
  <r>
    <x v="84"/>
    <x v="2"/>
    <x v="2"/>
    <s v="Brown"/>
    <x v="3"/>
    <x v="11"/>
    <n v="12"/>
    <x v="2"/>
    <n v="32"/>
    <n v="14"/>
    <n v="384"/>
    <n v="168"/>
    <n v="216"/>
    <n v="0.5625"/>
  </r>
  <r>
    <x v="139"/>
    <x v="7"/>
    <x v="2"/>
    <s v="Black"/>
    <x v="1"/>
    <x v="5"/>
    <n v="9"/>
    <x v="2"/>
    <n v="119"/>
    <n v="67"/>
    <n v="1071"/>
    <n v="603"/>
    <n v="468"/>
    <n v="0.43697478991596639"/>
  </r>
  <r>
    <x v="140"/>
    <x v="3"/>
    <x v="1"/>
    <s v="Red"/>
    <x v="3"/>
    <x v="8"/>
    <n v="7"/>
    <x v="1"/>
    <n v="76"/>
    <n v="39"/>
    <n v="532"/>
    <n v="273"/>
    <n v="259"/>
    <n v="0.48684210526315791"/>
  </r>
  <r>
    <x v="141"/>
    <x v="6"/>
    <x v="2"/>
    <s v="Blue"/>
    <x v="3"/>
    <x v="10"/>
    <n v="13"/>
    <x v="2"/>
    <n v="112"/>
    <n v="64"/>
    <n v="1456"/>
    <n v="832"/>
    <n v="624"/>
    <n v="0.42857142857142855"/>
  </r>
  <r>
    <x v="18"/>
    <x v="0"/>
    <x v="1"/>
    <s v="Red"/>
    <x v="1"/>
    <x v="5"/>
    <n v="8"/>
    <x v="0"/>
    <n v="89"/>
    <n v="47"/>
    <n v="712"/>
    <n v="376"/>
    <n v="336"/>
    <n v="0.47191011235955055"/>
  </r>
  <r>
    <x v="70"/>
    <x v="1"/>
    <x v="0"/>
    <s v="Black"/>
    <x v="0"/>
    <x v="3"/>
    <n v="6"/>
    <x v="2"/>
    <n v="54"/>
    <n v="28"/>
    <n v="324"/>
    <n v="168"/>
    <n v="156"/>
    <n v="0.48148148148148145"/>
  </r>
  <r>
    <x v="142"/>
    <x v="5"/>
    <x v="0"/>
    <s v="Green"/>
    <x v="0"/>
    <x v="5"/>
    <n v="13"/>
    <x v="0"/>
    <n v="105"/>
    <n v="58"/>
    <n v="1365"/>
    <n v="754"/>
    <n v="611"/>
    <n v="0.44761904761904764"/>
  </r>
  <r>
    <x v="79"/>
    <x v="3"/>
    <x v="0"/>
    <s v="Green"/>
    <x v="3"/>
    <x v="5"/>
    <n v="7"/>
    <x v="0"/>
    <n v="76"/>
    <n v="39"/>
    <n v="532"/>
    <n v="273"/>
    <n v="259"/>
    <n v="0.48684210526315791"/>
  </r>
  <r>
    <x v="104"/>
    <x v="5"/>
    <x v="3"/>
    <s v="Green"/>
    <x v="0"/>
    <x v="4"/>
    <n v="9"/>
    <x v="0"/>
    <n v="105"/>
    <n v="58"/>
    <n v="945"/>
    <n v="522"/>
    <n v="423"/>
    <n v="0.44761904761904764"/>
  </r>
  <r>
    <x v="143"/>
    <x v="2"/>
    <x v="1"/>
    <s v="Brown"/>
    <x v="4"/>
    <x v="2"/>
    <n v="3"/>
    <x v="0"/>
    <n v="32"/>
    <n v="14"/>
    <n v="96"/>
    <n v="42"/>
    <n v="54"/>
    <n v="0.5625"/>
  </r>
  <r>
    <x v="144"/>
    <x v="0"/>
    <x v="3"/>
    <s v="Green"/>
    <x v="2"/>
    <x v="3"/>
    <n v="11"/>
    <x v="3"/>
    <n v="89"/>
    <n v="47"/>
    <n v="979"/>
    <n v="517"/>
    <n v="462"/>
    <n v="0.47191011235955055"/>
  </r>
  <r>
    <x v="43"/>
    <x v="4"/>
    <x v="2"/>
    <s v="Green"/>
    <x v="1"/>
    <x v="8"/>
    <n v="15"/>
    <x v="2"/>
    <n v="128"/>
    <n v="72"/>
    <n v="1920"/>
    <n v="1080"/>
    <n v="840"/>
    <n v="0.4375"/>
  </r>
  <r>
    <x v="145"/>
    <x v="0"/>
    <x v="0"/>
    <s v="Green"/>
    <x v="3"/>
    <x v="3"/>
    <n v="9"/>
    <x v="1"/>
    <n v="89"/>
    <n v="47"/>
    <n v="801"/>
    <n v="423"/>
    <n v="378"/>
    <n v="0.47191011235955055"/>
  </r>
  <r>
    <x v="30"/>
    <x v="0"/>
    <x v="0"/>
    <s v="Red"/>
    <x v="4"/>
    <x v="5"/>
    <n v="1"/>
    <x v="3"/>
    <n v="89"/>
    <n v="47"/>
    <n v="89"/>
    <n v="47"/>
    <n v="42"/>
    <n v="0.47191011235955055"/>
  </r>
  <r>
    <x v="146"/>
    <x v="4"/>
    <x v="0"/>
    <s v="Blue"/>
    <x v="0"/>
    <x v="8"/>
    <n v="1"/>
    <x v="0"/>
    <n v="128"/>
    <n v="72"/>
    <n v="128"/>
    <n v="72"/>
    <n v="56"/>
    <n v="0.4375"/>
  </r>
  <r>
    <x v="147"/>
    <x v="5"/>
    <x v="1"/>
    <s v="Brown"/>
    <x v="4"/>
    <x v="10"/>
    <n v="7"/>
    <x v="2"/>
    <n v="105"/>
    <n v="58"/>
    <n v="735"/>
    <n v="406"/>
    <n v="329"/>
    <n v="0.44761904761904764"/>
  </r>
  <r>
    <x v="148"/>
    <x v="0"/>
    <x v="0"/>
    <s v="Blue"/>
    <x v="1"/>
    <x v="0"/>
    <n v="13"/>
    <x v="1"/>
    <n v="89"/>
    <n v="47"/>
    <n v="1157"/>
    <n v="611"/>
    <n v="546"/>
    <n v="0.47191011235955055"/>
  </r>
  <r>
    <x v="46"/>
    <x v="5"/>
    <x v="0"/>
    <s v="Blue"/>
    <x v="1"/>
    <x v="4"/>
    <n v="15"/>
    <x v="1"/>
    <n v="105"/>
    <n v="58"/>
    <n v="1575"/>
    <n v="870"/>
    <n v="705"/>
    <n v="0.44761904761904764"/>
  </r>
  <r>
    <x v="25"/>
    <x v="5"/>
    <x v="0"/>
    <s v="Brown"/>
    <x v="3"/>
    <x v="2"/>
    <n v="9"/>
    <x v="3"/>
    <n v="105"/>
    <n v="58"/>
    <n v="945"/>
    <n v="522"/>
    <n v="423"/>
    <n v="0.44761904761904764"/>
  </r>
  <r>
    <x v="106"/>
    <x v="0"/>
    <x v="1"/>
    <s v="Blue"/>
    <x v="1"/>
    <x v="6"/>
    <n v="15"/>
    <x v="2"/>
    <n v="89"/>
    <n v="47"/>
    <n v="1335"/>
    <n v="705"/>
    <n v="630"/>
    <n v="0.47191011235955055"/>
  </r>
  <r>
    <x v="149"/>
    <x v="2"/>
    <x v="0"/>
    <s v="Green"/>
    <x v="3"/>
    <x v="12"/>
    <n v="15"/>
    <x v="0"/>
    <n v="32"/>
    <n v="14"/>
    <n v="480"/>
    <n v="210"/>
    <n v="270"/>
    <n v="0.5625"/>
  </r>
  <r>
    <x v="150"/>
    <x v="7"/>
    <x v="0"/>
    <s v="Blue"/>
    <x v="3"/>
    <x v="8"/>
    <n v="13"/>
    <x v="3"/>
    <n v="119"/>
    <n v="67"/>
    <n v="1547"/>
    <n v="871"/>
    <n v="676"/>
    <n v="0.43697478991596639"/>
  </r>
  <r>
    <x v="64"/>
    <x v="2"/>
    <x v="3"/>
    <s v="Red"/>
    <x v="1"/>
    <x v="1"/>
    <n v="6"/>
    <x v="0"/>
    <n v="32"/>
    <n v="14"/>
    <n v="192"/>
    <n v="84"/>
    <n v="108"/>
    <n v="0.5625"/>
  </r>
  <r>
    <x v="70"/>
    <x v="0"/>
    <x v="3"/>
    <s v="Brown"/>
    <x v="2"/>
    <x v="5"/>
    <n v="6"/>
    <x v="3"/>
    <n v="89"/>
    <n v="47"/>
    <n v="534"/>
    <n v="282"/>
    <n v="252"/>
    <n v="0.47191011235955055"/>
  </r>
  <r>
    <x v="151"/>
    <x v="3"/>
    <x v="0"/>
    <s v="Red"/>
    <x v="1"/>
    <x v="7"/>
    <n v="10"/>
    <x v="1"/>
    <n v="76"/>
    <n v="39"/>
    <n v="760"/>
    <n v="390"/>
    <n v="370"/>
    <n v="0.48684210526315791"/>
  </r>
  <r>
    <x v="93"/>
    <x v="2"/>
    <x v="3"/>
    <s v="Green"/>
    <x v="1"/>
    <x v="9"/>
    <n v="4"/>
    <x v="3"/>
    <n v="32"/>
    <n v="14"/>
    <n v="128"/>
    <n v="56"/>
    <n v="72"/>
    <n v="0.5625"/>
  </r>
  <r>
    <x v="152"/>
    <x v="2"/>
    <x v="3"/>
    <s v="Brown"/>
    <x v="0"/>
    <x v="12"/>
    <n v="7"/>
    <x v="3"/>
    <n v="32"/>
    <n v="14"/>
    <n v="224"/>
    <n v="98"/>
    <n v="126"/>
    <n v="0.5625"/>
  </r>
  <r>
    <x v="153"/>
    <x v="5"/>
    <x v="3"/>
    <s v="Blue"/>
    <x v="1"/>
    <x v="5"/>
    <n v="10"/>
    <x v="1"/>
    <n v="105"/>
    <n v="58"/>
    <n v="1050"/>
    <n v="580"/>
    <n v="470"/>
    <n v="0.44761904761904764"/>
  </r>
  <r>
    <x v="141"/>
    <x v="2"/>
    <x v="0"/>
    <s v="Red"/>
    <x v="2"/>
    <x v="3"/>
    <n v="10"/>
    <x v="1"/>
    <n v="32"/>
    <n v="14"/>
    <n v="320"/>
    <n v="140"/>
    <n v="180"/>
    <n v="0.5625"/>
  </r>
  <r>
    <x v="149"/>
    <x v="1"/>
    <x v="0"/>
    <s v="Brown"/>
    <x v="1"/>
    <x v="1"/>
    <n v="15"/>
    <x v="3"/>
    <n v="54"/>
    <n v="28"/>
    <n v="810"/>
    <n v="420"/>
    <n v="390"/>
    <n v="0.48148148148148145"/>
  </r>
  <r>
    <x v="38"/>
    <x v="1"/>
    <x v="3"/>
    <s v="Green"/>
    <x v="3"/>
    <x v="2"/>
    <n v="1"/>
    <x v="1"/>
    <n v="54"/>
    <n v="28"/>
    <n v="54"/>
    <n v="28"/>
    <n v="26"/>
    <n v="0.48148148148148145"/>
  </r>
  <r>
    <x v="121"/>
    <x v="4"/>
    <x v="3"/>
    <s v="Black"/>
    <x v="2"/>
    <x v="0"/>
    <n v="2"/>
    <x v="2"/>
    <n v="128"/>
    <n v="72"/>
    <n v="256"/>
    <n v="144"/>
    <n v="112"/>
    <n v="0.4375"/>
  </r>
  <r>
    <x v="154"/>
    <x v="5"/>
    <x v="3"/>
    <s v="Blue"/>
    <x v="3"/>
    <x v="11"/>
    <n v="12"/>
    <x v="2"/>
    <n v="105"/>
    <n v="58"/>
    <n v="1260"/>
    <n v="696"/>
    <n v="564"/>
    <n v="0.44761904761904764"/>
  </r>
  <r>
    <x v="155"/>
    <x v="1"/>
    <x v="0"/>
    <s v="Brown"/>
    <x v="0"/>
    <x v="7"/>
    <n v="15"/>
    <x v="0"/>
    <n v="54"/>
    <n v="28"/>
    <n v="810"/>
    <n v="420"/>
    <n v="390"/>
    <n v="0.48148148148148145"/>
  </r>
  <r>
    <x v="93"/>
    <x v="2"/>
    <x v="0"/>
    <s v="Blue"/>
    <x v="2"/>
    <x v="7"/>
    <n v="13"/>
    <x v="3"/>
    <n v="32"/>
    <n v="14"/>
    <n v="416"/>
    <n v="182"/>
    <n v="234"/>
    <n v="0.5625"/>
  </r>
  <r>
    <x v="42"/>
    <x v="7"/>
    <x v="3"/>
    <s v="Green"/>
    <x v="1"/>
    <x v="0"/>
    <n v="3"/>
    <x v="2"/>
    <n v="119"/>
    <n v="67"/>
    <n v="357"/>
    <n v="201"/>
    <n v="156"/>
    <n v="0.43697478991596639"/>
  </r>
  <r>
    <x v="156"/>
    <x v="0"/>
    <x v="0"/>
    <s v="Blue"/>
    <x v="2"/>
    <x v="12"/>
    <n v="3"/>
    <x v="2"/>
    <n v="89"/>
    <n v="47"/>
    <n v="267"/>
    <n v="141"/>
    <n v="126"/>
    <n v="0.47191011235955055"/>
  </r>
  <r>
    <x v="11"/>
    <x v="7"/>
    <x v="0"/>
    <s v="Red"/>
    <x v="1"/>
    <x v="4"/>
    <n v="12"/>
    <x v="3"/>
    <n v="119"/>
    <n v="67"/>
    <n v="1428"/>
    <n v="804"/>
    <n v="624"/>
    <n v="0.43697478991596639"/>
  </r>
  <r>
    <x v="1"/>
    <x v="4"/>
    <x v="0"/>
    <s v="Blue"/>
    <x v="3"/>
    <x v="1"/>
    <n v="8"/>
    <x v="2"/>
    <n v="128"/>
    <n v="72"/>
    <n v="1024"/>
    <n v="576"/>
    <n v="448"/>
    <n v="0.4375"/>
  </r>
  <r>
    <x v="31"/>
    <x v="6"/>
    <x v="3"/>
    <s v="Blue"/>
    <x v="2"/>
    <x v="12"/>
    <n v="4"/>
    <x v="0"/>
    <n v="112"/>
    <n v="64"/>
    <n v="448"/>
    <n v="256"/>
    <n v="192"/>
    <n v="0.42857142857142855"/>
  </r>
  <r>
    <x v="24"/>
    <x v="2"/>
    <x v="2"/>
    <s v="Green"/>
    <x v="1"/>
    <x v="8"/>
    <n v="9"/>
    <x v="1"/>
    <n v="32"/>
    <n v="14"/>
    <n v="288"/>
    <n v="126"/>
    <n v="162"/>
    <n v="0.5625"/>
  </r>
  <r>
    <x v="13"/>
    <x v="4"/>
    <x v="0"/>
    <s v="Black"/>
    <x v="1"/>
    <x v="1"/>
    <n v="7"/>
    <x v="2"/>
    <n v="128"/>
    <n v="72"/>
    <n v="896"/>
    <n v="504"/>
    <n v="392"/>
    <n v="0.4375"/>
  </r>
  <r>
    <x v="63"/>
    <x v="4"/>
    <x v="0"/>
    <s v="Brown"/>
    <x v="1"/>
    <x v="4"/>
    <n v="8"/>
    <x v="0"/>
    <n v="128"/>
    <n v="72"/>
    <n v="1024"/>
    <n v="576"/>
    <n v="448"/>
    <n v="0.4375"/>
  </r>
  <r>
    <x v="157"/>
    <x v="6"/>
    <x v="0"/>
    <s v="Brown"/>
    <x v="1"/>
    <x v="13"/>
    <n v="6"/>
    <x v="0"/>
    <n v="112"/>
    <n v="64"/>
    <n v="672"/>
    <n v="384"/>
    <n v="288"/>
    <n v="0.42857142857142855"/>
  </r>
  <r>
    <x v="158"/>
    <x v="4"/>
    <x v="0"/>
    <s v="Black"/>
    <x v="1"/>
    <x v="2"/>
    <n v="3"/>
    <x v="0"/>
    <n v="128"/>
    <n v="72"/>
    <n v="384"/>
    <n v="216"/>
    <n v="168"/>
    <n v="0.4375"/>
  </r>
  <r>
    <x v="159"/>
    <x v="5"/>
    <x v="1"/>
    <s v="Red"/>
    <x v="1"/>
    <x v="5"/>
    <n v="3"/>
    <x v="2"/>
    <n v="105"/>
    <n v="58"/>
    <n v="315"/>
    <n v="174"/>
    <n v="141"/>
    <n v="0.44761904761904764"/>
  </r>
  <r>
    <x v="160"/>
    <x v="4"/>
    <x v="0"/>
    <s v="Red"/>
    <x v="1"/>
    <x v="12"/>
    <n v="7"/>
    <x v="0"/>
    <n v="128"/>
    <n v="72"/>
    <n v="896"/>
    <n v="504"/>
    <n v="392"/>
    <n v="0.4375"/>
  </r>
  <r>
    <x v="15"/>
    <x v="7"/>
    <x v="0"/>
    <s v="Blue"/>
    <x v="1"/>
    <x v="12"/>
    <n v="5"/>
    <x v="3"/>
    <n v="119"/>
    <n v="67"/>
    <n v="595"/>
    <n v="335"/>
    <n v="260"/>
    <n v="0.43697478991596639"/>
  </r>
  <r>
    <x v="92"/>
    <x v="7"/>
    <x v="2"/>
    <s v="Red"/>
    <x v="1"/>
    <x v="9"/>
    <n v="3"/>
    <x v="1"/>
    <n v="119"/>
    <n v="67"/>
    <n v="357"/>
    <n v="201"/>
    <n v="156"/>
    <n v="0.43697478991596639"/>
  </r>
  <r>
    <x v="161"/>
    <x v="5"/>
    <x v="3"/>
    <s v="Red"/>
    <x v="1"/>
    <x v="0"/>
    <n v="12"/>
    <x v="1"/>
    <n v="105"/>
    <n v="58"/>
    <n v="1260"/>
    <n v="696"/>
    <n v="564"/>
    <n v="0.44761904761904764"/>
  </r>
  <r>
    <x v="87"/>
    <x v="2"/>
    <x v="0"/>
    <s v="Blue"/>
    <x v="1"/>
    <x v="3"/>
    <n v="9"/>
    <x v="1"/>
    <n v="32"/>
    <n v="14"/>
    <n v="288"/>
    <n v="126"/>
    <n v="162"/>
    <n v="0.5625"/>
  </r>
  <r>
    <x v="57"/>
    <x v="7"/>
    <x v="0"/>
    <s v="Red"/>
    <x v="1"/>
    <x v="6"/>
    <n v="3"/>
    <x v="3"/>
    <n v="119"/>
    <n v="67"/>
    <n v="357"/>
    <n v="201"/>
    <n v="156"/>
    <n v="0.43697478991596639"/>
  </r>
  <r>
    <x v="58"/>
    <x v="5"/>
    <x v="0"/>
    <s v="Red"/>
    <x v="0"/>
    <x v="4"/>
    <n v="9"/>
    <x v="0"/>
    <n v="105"/>
    <n v="58"/>
    <n v="945"/>
    <n v="522"/>
    <n v="423"/>
    <n v="0.44761904761904764"/>
  </r>
  <r>
    <x v="34"/>
    <x v="6"/>
    <x v="0"/>
    <s v="Blue"/>
    <x v="3"/>
    <x v="3"/>
    <n v="2"/>
    <x v="1"/>
    <n v="112"/>
    <n v="64"/>
    <n v="224"/>
    <n v="128"/>
    <n v="96"/>
    <n v="0.42857142857142855"/>
  </r>
  <r>
    <x v="9"/>
    <x v="3"/>
    <x v="2"/>
    <s v="Blue"/>
    <x v="0"/>
    <x v="11"/>
    <n v="6"/>
    <x v="0"/>
    <n v="76"/>
    <n v="39"/>
    <n v="456"/>
    <n v="234"/>
    <n v="222"/>
    <n v="0.48684210526315791"/>
  </r>
  <r>
    <x v="25"/>
    <x v="5"/>
    <x v="0"/>
    <s v="Black"/>
    <x v="2"/>
    <x v="13"/>
    <n v="14"/>
    <x v="1"/>
    <n v="105"/>
    <n v="58"/>
    <n v="1470"/>
    <n v="812"/>
    <n v="658"/>
    <n v="0.44761904761904764"/>
  </r>
  <r>
    <x v="137"/>
    <x v="1"/>
    <x v="0"/>
    <s v="Red"/>
    <x v="3"/>
    <x v="11"/>
    <n v="7"/>
    <x v="2"/>
    <n v="54"/>
    <n v="28"/>
    <n v="378"/>
    <n v="196"/>
    <n v="182"/>
    <n v="0.48148148148148145"/>
  </r>
  <r>
    <x v="162"/>
    <x v="3"/>
    <x v="3"/>
    <s v="Red"/>
    <x v="3"/>
    <x v="12"/>
    <n v="8"/>
    <x v="3"/>
    <n v="76"/>
    <n v="39"/>
    <n v="608"/>
    <n v="312"/>
    <n v="296"/>
    <n v="0.48684210526315791"/>
  </r>
  <r>
    <x v="18"/>
    <x v="2"/>
    <x v="2"/>
    <s v="Red"/>
    <x v="3"/>
    <x v="3"/>
    <n v="1"/>
    <x v="3"/>
    <n v="32"/>
    <n v="14"/>
    <n v="32"/>
    <n v="14"/>
    <n v="18"/>
    <n v="0.5625"/>
  </r>
  <r>
    <x v="27"/>
    <x v="1"/>
    <x v="0"/>
    <s v="Red"/>
    <x v="1"/>
    <x v="8"/>
    <n v="9"/>
    <x v="0"/>
    <n v="54"/>
    <n v="28"/>
    <n v="486"/>
    <n v="252"/>
    <n v="234"/>
    <n v="0.48148148148148145"/>
  </r>
  <r>
    <x v="100"/>
    <x v="2"/>
    <x v="2"/>
    <s v="Red"/>
    <x v="3"/>
    <x v="8"/>
    <n v="1"/>
    <x v="2"/>
    <n v="32"/>
    <n v="14"/>
    <n v="32"/>
    <n v="14"/>
    <n v="18"/>
    <n v="0.5625"/>
  </r>
  <r>
    <x v="30"/>
    <x v="1"/>
    <x v="0"/>
    <s v="Red"/>
    <x v="0"/>
    <x v="7"/>
    <n v="14"/>
    <x v="2"/>
    <n v="54"/>
    <n v="28"/>
    <n v="756"/>
    <n v="392"/>
    <n v="364"/>
    <n v="0.48148148148148145"/>
  </r>
  <r>
    <x v="49"/>
    <x v="7"/>
    <x v="2"/>
    <s v="Brown"/>
    <x v="2"/>
    <x v="4"/>
    <n v="7"/>
    <x v="1"/>
    <n v="119"/>
    <n v="67"/>
    <n v="833"/>
    <n v="469"/>
    <n v="364"/>
    <n v="0.43697478991596639"/>
  </r>
  <r>
    <x v="163"/>
    <x v="3"/>
    <x v="1"/>
    <s v="Black"/>
    <x v="1"/>
    <x v="2"/>
    <n v="6"/>
    <x v="0"/>
    <n v="76"/>
    <n v="39"/>
    <n v="456"/>
    <n v="234"/>
    <n v="222"/>
    <n v="0.48684210526315791"/>
  </r>
  <r>
    <x v="164"/>
    <x v="1"/>
    <x v="3"/>
    <s v="Red"/>
    <x v="1"/>
    <x v="10"/>
    <n v="6"/>
    <x v="1"/>
    <n v="54"/>
    <n v="28"/>
    <n v="324"/>
    <n v="168"/>
    <n v="156"/>
    <n v="0.48148148148148145"/>
  </r>
  <r>
    <x v="0"/>
    <x v="5"/>
    <x v="2"/>
    <s v="Red"/>
    <x v="1"/>
    <x v="10"/>
    <n v="4"/>
    <x v="0"/>
    <n v="105"/>
    <n v="58"/>
    <n v="420"/>
    <n v="232"/>
    <n v="188"/>
    <n v="0.44761904761904764"/>
  </r>
  <r>
    <x v="43"/>
    <x v="0"/>
    <x v="1"/>
    <s v="Blue"/>
    <x v="4"/>
    <x v="8"/>
    <n v="12"/>
    <x v="2"/>
    <n v="89"/>
    <n v="47"/>
    <n v="1068"/>
    <n v="564"/>
    <n v="504"/>
    <n v="0.47191011235955055"/>
  </r>
  <r>
    <x v="99"/>
    <x v="3"/>
    <x v="0"/>
    <s v="Blue"/>
    <x v="1"/>
    <x v="5"/>
    <n v="13"/>
    <x v="1"/>
    <n v="76"/>
    <n v="39"/>
    <n v="988"/>
    <n v="507"/>
    <n v="481"/>
    <n v="0.48684210526315791"/>
  </r>
  <r>
    <x v="49"/>
    <x v="1"/>
    <x v="0"/>
    <s v="Red"/>
    <x v="3"/>
    <x v="8"/>
    <n v="6"/>
    <x v="2"/>
    <n v="54"/>
    <n v="28"/>
    <n v="324"/>
    <n v="168"/>
    <n v="156"/>
    <n v="0.48148148148148145"/>
  </r>
  <r>
    <x v="37"/>
    <x v="6"/>
    <x v="0"/>
    <s v="Green"/>
    <x v="0"/>
    <x v="13"/>
    <n v="13"/>
    <x v="1"/>
    <n v="112"/>
    <n v="64"/>
    <n v="1456"/>
    <n v="832"/>
    <n v="624"/>
    <n v="0.42857142857142855"/>
  </r>
  <r>
    <x v="114"/>
    <x v="0"/>
    <x v="0"/>
    <s v="Blue"/>
    <x v="0"/>
    <x v="7"/>
    <n v="5"/>
    <x v="2"/>
    <n v="89"/>
    <n v="47"/>
    <n v="445"/>
    <n v="235"/>
    <n v="210"/>
    <n v="0.47191011235955055"/>
  </r>
  <r>
    <x v="165"/>
    <x v="1"/>
    <x v="2"/>
    <s v="Brown"/>
    <x v="3"/>
    <x v="1"/>
    <n v="2"/>
    <x v="1"/>
    <n v="54"/>
    <n v="28"/>
    <n v="108"/>
    <n v="56"/>
    <n v="52"/>
    <n v="0.48148148148148145"/>
  </r>
  <r>
    <x v="140"/>
    <x v="6"/>
    <x v="3"/>
    <s v="Red"/>
    <x v="2"/>
    <x v="7"/>
    <n v="7"/>
    <x v="1"/>
    <n v="112"/>
    <n v="64"/>
    <n v="784"/>
    <n v="448"/>
    <n v="336"/>
    <n v="0.42857142857142855"/>
  </r>
  <r>
    <x v="17"/>
    <x v="0"/>
    <x v="2"/>
    <s v="Blue"/>
    <x v="0"/>
    <x v="8"/>
    <n v="9"/>
    <x v="2"/>
    <n v="89"/>
    <n v="47"/>
    <n v="801"/>
    <n v="423"/>
    <n v="378"/>
    <n v="0.47191011235955055"/>
  </r>
  <r>
    <x v="72"/>
    <x v="0"/>
    <x v="0"/>
    <s v="Green"/>
    <x v="3"/>
    <x v="0"/>
    <n v="6"/>
    <x v="0"/>
    <n v="89"/>
    <n v="47"/>
    <n v="534"/>
    <n v="282"/>
    <n v="252"/>
    <n v="0.47191011235955055"/>
  </r>
  <r>
    <x v="26"/>
    <x v="6"/>
    <x v="3"/>
    <s v="Black"/>
    <x v="2"/>
    <x v="13"/>
    <n v="10"/>
    <x v="3"/>
    <n v="112"/>
    <n v="64"/>
    <n v="1120"/>
    <n v="640"/>
    <n v="480"/>
    <n v="0.42857142857142855"/>
  </r>
  <r>
    <x v="122"/>
    <x v="2"/>
    <x v="3"/>
    <s v="Brown"/>
    <x v="2"/>
    <x v="12"/>
    <n v="1"/>
    <x v="1"/>
    <n v="32"/>
    <n v="14"/>
    <n v="32"/>
    <n v="14"/>
    <n v="18"/>
    <n v="0.5625"/>
  </r>
  <r>
    <x v="146"/>
    <x v="5"/>
    <x v="2"/>
    <s v="Brown"/>
    <x v="3"/>
    <x v="0"/>
    <n v="13"/>
    <x v="2"/>
    <n v="105"/>
    <n v="58"/>
    <n v="1365"/>
    <n v="754"/>
    <n v="611"/>
    <n v="0.44761904761904764"/>
  </r>
  <r>
    <x v="166"/>
    <x v="1"/>
    <x v="0"/>
    <s v="Brown"/>
    <x v="1"/>
    <x v="4"/>
    <n v="9"/>
    <x v="2"/>
    <n v="54"/>
    <n v="28"/>
    <n v="486"/>
    <n v="252"/>
    <n v="234"/>
    <n v="0.48148148148148145"/>
  </r>
  <r>
    <x v="155"/>
    <x v="7"/>
    <x v="2"/>
    <s v="Green"/>
    <x v="1"/>
    <x v="2"/>
    <n v="15"/>
    <x v="2"/>
    <n v="119"/>
    <n v="67"/>
    <n v="1785"/>
    <n v="1005"/>
    <n v="780"/>
    <n v="0.43697478991596639"/>
  </r>
  <r>
    <x v="124"/>
    <x v="4"/>
    <x v="3"/>
    <s v="Red"/>
    <x v="3"/>
    <x v="4"/>
    <n v="14"/>
    <x v="1"/>
    <n v="128"/>
    <n v="72"/>
    <n v="1792"/>
    <n v="1008"/>
    <n v="784"/>
    <n v="0.4375"/>
  </r>
  <r>
    <x v="132"/>
    <x v="0"/>
    <x v="3"/>
    <s v="Blue"/>
    <x v="1"/>
    <x v="5"/>
    <n v="15"/>
    <x v="1"/>
    <n v="89"/>
    <n v="47"/>
    <n v="1335"/>
    <n v="705"/>
    <n v="630"/>
    <n v="0.47191011235955055"/>
  </r>
  <r>
    <x v="167"/>
    <x v="5"/>
    <x v="0"/>
    <s v="Green"/>
    <x v="1"/>
    <x v="5"/>
    <n v="14"/>
    <x v="1"/>
    <n v="105"/>
    <n v="58"/>
    <n v="1470"/>
    <n v="812"/>
    <n v="658"/>
    <n v="0.44761904761904764"/>
  </r>
  <r>
    <x v="168"/>
    <x v="7"/>
    <x v="2"/>
    <s v="Blue"/>
    <x v="1"/>
    <x v="12"/>
    <n v="6"/>
    <x v="2"/>
    <n v="119"/>
    <n v="67"/>
    <n v="714"/>
    <n v="402"/>
    <n v="312"/>
    <n v="0.43697478991596639"/>
  </r>
  <r>
    <x v="137"/>
    <x v="1"/>
    <x v="1"/>
    <s v="Red"/>
    <x v="0"/>
    <x v="3"/>
    <n v="15"/>
    <x v="3"/>
    <n v="54"/>
    <n v="28"/>
    <n v="810"/>
    <n v="420"/>
    <n v="390"/>
    <n v="0.48148148148148145"/>
  </r>
  <r>
    <x v="62"/>
    <x v="3"/>
    <x v="3"/>
    <s v="Black"/>
    <x v="4"/>
    <x v="12"/>
    <n v="6"/>
    <x v="0"/>
    <n v="76"/>
    <n v="39"/>
    <n v="456"/>
    <n v="234"/>
    <n v="222"/>
    <n v="0.48684210526315791"/>
  </r>
  <r>
    <x v="169"/>
    <x v="4"/>
    <x v="2"/>
    <s v="Brown"/>
    <x v="3"/>
    <x v="5"/>
    <n v="10"/>
    <x v="0"/>
    <n v="128"/>
    <n v="72"/>
    <n v="1280"/>
    <n v="720"/>
    <n v="560"/>
    <n v="0.4375"/>
  </r>
  <r>
    <x v="57"/>
    <x v="5"/>
    <x v="2"/>
    <s v="Blue"/>
    <x v="1"/>
    <x v="9"/>
    <n v="4"/>
    <x v="1"/>
    <n v="105"/>
    <n v="58"/>
    <n v="420"/>
    <n v="232"/>
    <n v="188"/>
    <n v="0.44761904761904764"/>
  </r>
  <r>
    <x v="170"/>
    <x v="1"/>
    <x v="0"/>
    <s v="Blue"/>
    <x v="3"/>
    <x v="9"/>
    <n v="11"/>
    <x v="3"/>
    <n v="54"/>
    <n v="28"/>
    <n v="594"/>
    <n v="308"/>
    <n v="286"/>
    <n v="0.48148148148148145"/>
  </r>
  <r>
    <x v="3"/>
    <x v="0"/>
    <x v="2"/>
    <s v="Brown"/>
    <x v="3"/>
    <x v="11"/>
    <n v="4"/>
    <x v="0"/>
    <n v="89"/>
    <n v="47"/>
    <n v="356"/>
    <n v="188"/>
    <n v="168"/>
    <n v="0.47191011235955055"/>
  </r>
  <r>
    <x v="84"/>
    <x v="6"/>
    <x v="2"/>
    <s v="Blue"/>
    <x v="0"/>
    <x v="9"/>
    <n v="10"/>
    <x v="2"/>
    <n v="112"/>
    <n v="64"/>
    <n v="1120"/>
    <n v="640"/>
    <n v="480"/>
    <n v="0.42857142857142855"/>
  </r>
  <r>
    <x v="47"/>
    <x v="2"/>
    <x v="0"/>
    <s v="Black"/>
    <x v="4"/>
    <x v="9"/>
    <n v="3"/>
    <x v="2"/>
    <n v="32"/>
    <n v="14"/>
    <n v="96"/>
    <n v="42"/>
    <n v="54"/>
    <n v="0.5625"/>
  </r>
  <r>
    <x v="124"/>
    <x v="2"/>
    <x v="0"/>
    <s v="Black"/>
    <x v="1"/>
    <x v="4"/>
    <n v="5"/>
    <x v="2"/>
    <n v="32"/>
    <n v="14"/>
    <n v="160"/>
    <n v="70"/>
    <n v="90"/>
    <n v="0.5625"/>
  </r>
  <r>
    <x v="171"/>
    <x v="0"/>
    <x v="0"/>
    <s v="Black"/>
    <x v="0"/>
    <x v="11"/>
    <n v="10"/>
    <x v="3"/>
    <n v="89"/>
    <n v="47"/>
    <n v="890"/>
    <n v="470"/>
    <n v="420"/>
    <n v="0.47191011235955055"/>
  </r>
  <r>
    <x v="70"/>
    <x v="0"/>
    <x v="0"/>
    <s v="Green"/>
    <x v="1"/>
    <x v="12"/>
    <n v="5"/>
    <x v="3"/>
    <n v="89"/>
    <n v="47"/>
    <n v="445"/>
    <n v="235"/>
    <n v="210"/>
    <n v="0.47191011235955055"/>
  </r>
  <r>
    <x v="26"/>
    <x v="4"/>
    <x v="2"/>
    <s v="Green"/>
    <x v="1"/>
    <x v="8"/>
    <n v="7"/>
    <x v="0"/>
    <n v="128"/>
    <n v="72"/>
    <n v="896"/>
    <n v="504"/>
    <n v="392"/>
    <n v="0.4375"/>
  </r>
  <r>
    <x v="145"/>
    <x v="0"/>
    <x v="0"/>
    <s v="Black"/>
    <x v="0"/>
    <x v="5"/>
    <n v="5"/>
    <x v="2"/>
    <n v="89"/>
    <n v="47"/>
    <n v="445"/>
    <n v="235"/>
    <n v="210"/>
    <n v="0.47191011235955055"/>
  </r>
  <r>
    <x v="172"/>
    <x v="2"/>
    <x v="2"/>
    <s v="Green"/>
    <x v="1"/>
    <x v="13"/>
    <n v="4"/>
    <x v="2"/>
    <n v="32"/>
    <n v="14"/>
    <n v="128"/>
    <n v="56"/>
    <n v="72"/>
    <n v="0.5625"/>
  </r>
  <r>
    <x v="102"/>
    <x v="1"/>
    <x v="0"/>
    <s v="Red"/>
    <x v="1"/>
    <x v="10"/>
    <n v="10"/>
    <x v="0"/>
    <n v="54"/>
    <n v="28"/>
    <n v="540"/>
    <n v="280"/>
    <n v="260"/>
    <n v="0.48148148148148145"/>
  </r>
  <r>
    <x v="173"/>
    <x v="2"/>
    <x v="2"/>
    <s v="Green"/>
    <x v="1"/>
    <x v="11"/>
    <n v="12"/>
    <x v="1"/>
    <n v="32"/>
    <n v="14"/>
    <n v="384"/>
    <n v="168"/>
    <n v="216"/>
    <n v="0.5625"/>
  </r>
  <r>
    <x v="138"/>
    <x v="4"/>
    <x v="0"/>
    <s v="Red"/>
    <x v="1"/>
    <x v="5"/>
    <n v="8"/>
    <x v="0"/>
    <n v="128"/>
    <n v="72"/>
    <n v="1024"/>
    <n v="576"/>
    <n v="448"/>
    <n v="0.4375"/>
  </r>
  <r>
    <x v="23"/>
    <x v="5"/>
    <x v="0"/>
    <s v="Brown"/>
    <x v="2"/>
    <x v="0"/>
    <n v="4"/>
    <x v="3"/>
    <n v="105"/>
    <n v="58"/>
    <n v="420"/>
    <n v="232"/>
    <n v="188"/>
    <n v="0.44761904761904764"/>
  </r>
  <r>
    <x v="47"/>
    <x v="4"/>
    <x v="3"/>
    <s v="Green"/>
    <x v="1"/>
    <x v="10"/>
    <n v="13"/>
    <x v="0"/>
    <n v="128"/>
    <n v="72"/>
    <n v="1664"/>
    <n v="936"/>
    <n v="728"/>
    <n v="0.4375"/>
  </r>
  <r>
    <x v="28"/>
    <x v="3"/>
    <x v="0"/>
    <s v="Brown"/>
    <x v="4"/>
    <x v="10"/>
    <n v="14"/>
    <x v="1"/>
    <n v="76"/>
    <n v="39"/>
    <n v="1064"/>
    <n v="546"/>
    <n v="518"/>
    <n v="0.48684210526315791"/>
  </r>
  <r>
    <x v="172"/>
    <x v="3"/>
    <x v="1"/>
    <s v="Green"/>
    <x v="2"/>
    <x v="2"/>
    <n v="1"/>
    <x v="2"/>
    <n v="76"/>
    <n v="39"/>
    <n v="76"/>
    <n v="39"/>
    <n v="37"/>
    <n v="0.48684210526315791"/>
  </r>
  <r>
    <x v="152"/>
    <x v="6"/>
    <x v="0"/>
    <s v="Red"/>
    <x v="4"/>
    <x v="8"/>
    <n v="15"/>
    <x v="2"/>
    <n v="112"/>
    <n v="64"/>
    <n v="1680"/>
    <n v="960"/>
    <n v="720"/>
    <n v="0.42857142857142855"/>
  </r>
  <r>
    <x v="144"/>
    <x v="7"/>
    <x v="2"/>
    <s v="Green"/>
    <x v="1"/>
    <x v="12"/>
    <n v="13"/>
    <x v="0"/>
    <n v="119"/>
    <n v="67"/>
    <n v="1547"/>
    <n v="871"/>
    <n v="676"/>
    <n v="0.43697478991596639"/>
  </r>
  <r>
    <x v="126"/>
    <x v="4"/>
    <x v="0"/>
    <s v="Blue"/>
    <x v="1"/>
    <x v="7"/>
    <n v="8"/>
    <x v="0"/>
    <n v="128"/>
    <n v="72"/>
    <n v="1024"/>
    <n v="576"/>
    <n v="448"/>
    <n v="0.4375"/>
  </r>
  <r>
    <x v="174"/>
    <x v="3"/>
    <x v="1"/>
    <s v="Green"/>
    <x v="3"/>
    <x v="3"/>
    <n v="8"/>
    <x v="2"/>
    <n v="76"/>
    <n v="39"/>
    <n v="608"/>
    <n v="312"/>
    <n v="296"/>
    <n v="0.48684210526315791"/>
  </r>
  <r>
    <x v="26"/>
    <x v="6"/>
    <x v="1"/>
    <s v="Black"/>
    <x v="0"/>
    <x v="7"/>
    <n v="10"/>
    <x v="3"/>
    <n v="112"/>
    <n v="64"/>
    <n v="1120"/>
    <n v="640"/>
    <n v="480"/>
    <n v="0.42857142857142855"/>
  </r>
  <r>
    <x v="99"/>
    <x v="1"/>
    <x v="2"/>
    <s v="Blue"/>
    <x v="1"/>
    <x v="0"/>
    <n v="14"/>
    <x v="2"/>
    <n v="54"/>
    <n v="28"/>
    <n v="756"/>
    <n v="392"/>
    <n v="364"/>
    <n v="0.48148148148148145"/>
  </r>
  <r>
    <x v="175"/>
    <x v="1"/>
    <x v="3"/>
    <s v="Brown"/>
    <x v="3"/>
    <x v="13"/>
    <n v="1"/>
    <x v="2"/>
    <n v="54"/>
    <n v="28"/>
    <n v="54"/>
    <n v="28"/>
    <n v="26"/>
    <n v="0.48148148148148145"/>
  </r>
  <r>
    <x v="131"/>
    <x v="0"/>
    <x v="2"/>
    <s v="Red"/>
    <x v="2"/>
    <x v="3"/>
    <n v="11"/>
    <x v="1"/>
    <n v="89"/>
    <n v="47"/>
    <n v="979"/>
    <n v="517"/>
    <n v="462"/>
    <n v="0.47191011235955055"/>
  </r>
  <r>
    <x v="176"/>
    <x v="3"/>
    <x v="1"/>
    <s v="Blue"/>
    <x v="2"/>
    <x v="0"/>
    <n v="8"/>
    <x v="1"/>
    <n v="76"/>
    <n v="39"/>
    <n v="608"/>
    <n v="312"/>
    <n v="296"/>
    <n v="0.48684210526315791"/>
  </r>
  <r>
    <x v="66"/>
    <x v="0"/>
    <x v="1"/>
    <s v="Brown"/>
    <x v="1"/>
    <x v="8"/>
    <n v="13"/>
    <x v="2"/>
    <n v="89"/>
    <n v="47"/>
    <n v="1157"/>
    <n v="611"/>
    <n v="546"/>
    <n v="0.47191011235955055"/>
  </r>
  <r>
    <x v="177"/>
    <x v="7"/>
    <x v="1"/>
    <s v="Red"/>
    <x v="2"/>
    <x v="3"/>
    <n v="6"/>
    <x v="0"/>
    <n v="119"/>
    <n v="67"/>
    <n v="714"/>
    <n v="402"/>
    <n v="312"/>
    <n v="0.43697478991596639"/>
  </r>
  <r>
    <x v="178"/>
    <x v="6"/>
    <x v="3"/>
    <s v="Red"/>
    <x v="3"/>
    <x v="0"/>
    <n v="8"/>
    <x v="0"/>
    <n v="112"/>
    <n v="64"/>
    <n v="896"/>
    <n v="512"/>
    <n v="384"/>
    <n v="0.42857142857142855"/>
  </r>
  <r>
    <x v="21"/>
    <x v="1"/>
    <x v="0"/>
    <s v="Blue"/>
    <x v="0"/>
    <x v="5"/>
    <n v="13"/>
    <x v="3"/>
    <n v="54"/>
    <n v="28"/>
    <n v="702"/>
    <n v="364"/>
    <n v="338"/>
    <n v="0.48148148148148145"/>
  </r>
  <r>
    <x v="111"/>
    <x v="0"/>
    <x v="0"/>
    <s v="Brown"/>
    <x v="3"/>
    <x v="6"/>
    <n v="6"/>
    <x v="0"/>
    <n v="89"/>
    <n v="47"/>
    <n v="534"/>
    <n v="282"/>
    <n v="252"/>
    <n v="0.47191011235955055"/>
  </r>
  <r>
    <x v="148"/>
    <x v="5"/>
    <x v="0"/>
    <s v="Brown"/>
    <x v="0"/>
    <x v="10"/>
    <n v="5"/>
    <x v="3"/>
    <n v="105"/>
    <n v="58"/>
    <n v="525"/>
    <n v="290"/>
    <n v="235"/>
    <n v="0.44761904761904764"/>
  </r>
  <r>
    <x v="76"/>
    <x v="2"/>
    <x v="3"/>
    <s v="Black"/>
    <x v="0"/>
    <x v="11"/>
    <n v="4"/>
    <x v="3"/>
    <n v="32"/>
    <n v="14"/>
    <n v="128"/>
    <n v="56"/>
    <n v="72"/>
    <n v="0.5625"/>
  </r>
  <r>
    <x v="179"/>
    <x v="0"/>
    <x v="1"/>
    <s v="Green"/>
    <x v="1"/>
    <x v="6"/>
    <n v="3"/>
    <x v="0"/>
    <n v="89"/>
    <n v="47"/>
    <n v="267"/>
    <n v="141"/>
    <n v="126"/>
    <n v="0.47191011235955055"/>
  </r>
  <r>
    <x v="4"/>
    <x v="7"/>
    <x v="0"/>
    <s v="Blue"/>
    <x v="1"/>
    <x v="5"/>
    <n v="5"/>
    <x v="1"/>
    <n v="119"/>
    <n v="67"/>
    <n v="595"/>
    <n v="335"/>
    <n v="260"/>
    <n v="0.43697478991596639"/>
  </r>
  <r>
    <x v="142"/>
    <x v="2"/>
    <x v="0"/>
    <s v="Green"/>
    <x v="3"/>
    <x v="4"/>
    <n v="4"/>
    <x v="1"/>
    <n v="32"/>
    <n v="14"/>
    <n v="128"/>
    <n v="56"/>
    <n v="72"/>
    <n v="0.5625"/>
  </r>
  <r>
    <x v="178"/>
    <x v="2"/>
    <x v="2"/>
    <s v="Brown"/>
    <x v="1"/>
    <x v="5"/>
    <n v="7"/>
    <x v="1"/>
    <n v="32"/>
    <n v="14"/>
    <n v="224"/>
    <n v="98"/>
    <n v="126"/>
    <n v="0.5625"/>
  </r>
  <r>
    <x v="48"/>
    <x v="1"/>
    <x v="1"/>
    <s v="Green"/>
    <x v="1"/>
    <x v="5"/>
    <n v="6"/>
    <x v="1"/>
    <n v="54"/>
    <n v="28"/>
    <n v="324"/>
    <n v="168"/>
    <n v="156"/>
    <n v="0.48148148148148145"/>
  </r>
  <r>
    <x v="180"/>
    <x v="2"/>
    <x v="0"/>
    <s v="Brown"/>
    <x v="3"/>
    <x v="7"/>
    <n v="7"/>
    <x v="2"/>
    <n v="32"/>
    <n v="14"/>
    <n v="224"/>
    <n v="98"/>
    <n v="126"/>
    <n v="0.5625"/>
  </r>
  <r>
    <x v="181"/>
    <x v="1"/>
    <x v="0"/>
    <s v="Blue"/>
    <x v="4"/>
    <x v="8"/>
    <n v="12"/>
    <x v="0"/>
    <n v="54"/>
    <n v="28"/>
    <n v="648"/>
    <n v="336"/>
    <n v="312"/>
    <n v="0.48148148148148145"/>
  </r>
  <r>
    <x v="32"/>
    <x v="7"/>
    <x v="2"/>
    <s v="Green"/>
    <x v="3"/>
    <x v="8"/>
    <n v="10"/>
    <x v="3"/>
    <n v="119"/>
    <n v="67"/>
    <n v="1190"/>
    <n v="670"/>
    <n v="520"/>
    <n v="0.43697478991596639"/>
  </r>
  <r>
    <x v="81"/>
    <x v="1"/>
    <x v="0"/>
    <s v="Brown"/>
    <x v="1"/>
    <x v="3"/>
    <n v="6"/>
    <x v="1"/>
    <n v="54"/>
    <n v="28"/>
    <n v="324"/>
    <n v="168"/>
    <n v="156"/>
    <n v="0.48148148148148145"/>
  </r>
  <r>
    <x v="110"/>
    <x v="2"/>
    <x v="0"/>
    <s v="Blue"/>
    <x v="2"/>
    <x v="3"/>
    <n v="15"/>
    <x v="2"/>
    <n v="32"/>
    <n v="14"/>
    <n v="480"/>
    <n v="210"/>
    <n v="270"/>
    <n v="0.5625"/>
  </r>
  <r>
    <x v="22"/>
    <x v="4"/>
    <x v="0"/>
    <s v="Red"/>
    <x v="4"/>
    <x v="11"/>
    <n v="3"/>
    <x v="3"/>
    <n v="128"/>
    <n v="72"/>
    <n v="384"/>
    <n v="216"/>
    <n v="168"/>
    <n v="0.4375"/>
  </r>
  <r>
    <x v="69"/>
    <x v="7"/>
    <x v="2"/>
    <s v="Black"/>
    <x v="2"/>
    <x v="2"/>
    <n v="1"/>
    <x v="1"/>
    <n v="119"/>
    <n v="67"/>
    <n v="119"/>
    <n v="67"/>
    <n v="52"/>
    <n v="0.43697478991596639"/>
  </r>
  <r>
    <x v="77"/>
    <x v="4"/>
    <x v="0"/>
    <s v="Black"/>
    <x v="1"/>
    <x v="8"/>
    <n v="9"/>
    <x v="0"/>
    <n v="128"/>
    <n v="72"/>
    <n v="1152"/>
    <n v="648"/>
    <n v="504"/>
    <n v="0.4375"/>
  </r>
  <r>
    <x v="1"/>
    <x v="5"/>
    <x v="0"/>
    <s v="Red"/>
    <x v="3"/>
    <x v="10"/>
    <n v="7"/>
    <x v="1"/>
    <n v="105"/>
    <n v="58"/>
    <n v="735"/>
    <n v="406"/>
    <n v="329"/>
    <n v="0.44761904761904764"/>
  </r>
  <r>
    <x v="182"/>
    <x v="0"/>
    <x v="0"/>
    <s v="Brown"/>
    <x v="1"/>
    <x v="9"/>
    <n v="4"/>
    <x v="2"/>
    <n v="89"/>
    <n v="47"/>
    <n v="356"/>
    <n v="188"/>
    <n v="168"/>
    <n v="0.47191011235955055"/>
  </r>
  <r>
    <x v="183"/>
    <x v="7"/>
    <x v="3"/>
    <s v="Brown"/>
    <x v="4"/>
    <x v="7"/>
    <n v="7"/>
    <x v="1"/>
    <n v="119"/>
    <n v="67"/>
    <n v="833"/>
    <n v="469"/>
    <n v="364"/>
    <n v="0.43697478991596639"/>
  </r>
  <r>
    <x v="41"/>
    <x v="3"/>
    <x v="2"/>
    <s v="Green"/>
    <x v="2"/>
    <x v="13"/>
    <n v="10"/>
    <x v="3"/>
    <n v="76"/>
    <n v="39"/>
    <n v="760"/>
    <n v="390"/>
    <n v="370"/>
    <n v="0.48684210526315791"/>
  </r>
  <r>
    <x v="174"/>
    <x v="1"/>
    <x v="0"/>
    <s v="Brown"/>
    <x v="1"/>
    <x v="5"/>
    <n v="2"/>
    <x v="3"/>
    <n v="54"/>
    <n v="28"/>
    <n v="108"/>
    <n v="56"/>
    <n v="52"/>
    <n v="0.48148148148148145"/>
  </r>
  <r>
    <x v="175"/>
    <x v="6"/>
    <x v="2"/>
    <s v="Blue"/>
    <x v="1"/>
    <x v="3"/>
    <n v="14"/>
    <x v="1"/>
    <n v="112"/>
    <n v="64"/>
    <n v="1568"/>
    <n v="896"/>
    <n v="672"/>
    <n v="0.42857142857142855"/>
  </r>
  <r>
    <x v="160"/>
    <x v="4"/>
    <x v="2"/>
    <s v="Blue"/>
    <x v="1"/>
    <x v="0"/>
    <n v="6"/>
    <x v="3"/>
    <n v="128"/>
    <n v="72"/>
    <n v="768"/>
    <n v="432"/>
    <n v="336"/>
    <n v="0.4375"/>
  </r>
  <r>
    <x v="36"/>
    <x v="5"/>
    <x v="2"/>
    <s v="Blue"/>
    <x v="2"/>
    <x v="0"/>
    <n v="5"/>
    <x v="2"/>
    <n v="105"/>
    <n v="58"/>
    <n v="525"/>
    <n v="290"/>
    <n v="235"/>
    <n v="0.44761904761904764"/>
  </r>
  <r>
    <x v="162"/>
    <x v="6"/>
    <x v="2"/>
    <s v="Green"/>
    <x v="2"/>
    <x v="0"/>
    <n v="4"/>
    <x v="0"/>
    <n v="112"/>
    <n v="64"/>
    <n v="448"/>
    <n v="256"/>
    <n v="192"/>
    <n v="0.42857142857142855"/>
  </r>
  <r>
    <x v="1"/>
    <x v="3"/>
    <x v="2"/>
    <s v="Blue"/>
    <x v="2"/>
    <x v="1"/>
    <n v="4"/>
    <x v="0"/>
    <n v="76"/>
    <n v="39"/>
    <n v="304"/>
    <n v="156"/>
    <n v="148"/>
    <n v="0.48684210526315791"/>
  </r>
  <r>
    <x v="151"/>
    <x v="5"/>
    <x v="0"/>
    <s v="Blue"/>
    <x v="0"/>
    <x v="3"/>
    <n v="10"/>
    <x v="2"/>
    <n v="105"/>
    <n v="58"/>
    <n v="1050"/>
    <n v="580"/>
    <n v="470"/>
    <n v="0.44761904761904764"/>
  </r>
  <r>
    <x v="29"/>
    <x v="0"/>
    <x v="3"/>
    <s v="Black"/>
    <x v="0"/>
    <x v="7"/>
    <n v="14"/>
    <x v="2"/>
    <n v="89"/>
    <n v="47"/>
    <n v="1246"/>
    <n v="658"/>
    <n v="588"/>
    <n v="0.47191011235955055"/>
  </r>
  <r>
    <x v="176"/>
    <x v="7"/>
    <x v="2"/>
    <s v="Green"/>
    <x v="2"/>
    <x v="5"/>
    <n v="8"/>
    <x v="3"/>
    <n v="119"/>
    <n v="67"/>
    <n v="952"/>
    <n v="536"/>
    <n v="416"/>
    <n v="0.43697478991596639"/>
  </r>
  <r>
    <x v="13"/>
    <x v="4"/>
    <x v="0"/>
    <s v="Black"/>
    <x v="3"/>
    <x v="9"/>
    <n v="3"/>
    <x v="2"/>
    <n v="128"/>
    <n v="72"/>
    <n v="384"/>
    <n v="216"/>
    <n v="168"/>
    <n v="0.4375"/>
  </r>
  <r>
    <x v="156"/>
    <x v="4"/>
    <x v="0"/>
    <s v="Black"/>
    <x v="1"/>
    <x v="11"/>
    <n v="13"/>
    <x v="0"/>
    <n v="128"/>
    <n v="72"/>
    <n v="1664"/>
    <n v="936"/>
    <n v="728"/>
    <n v="0.4375"/>
  </r>
  <r>
    <x v="52"/>
    <x v="2"/>
    <x v="0"/>
    <s v="Green"/>
    <x v="0"/>
    <x v="1"/>
    <n v="8"/>
    <x v="0"/>
    <n v="32"/>
    <n v="14"/>
    <n v="256"/>
    <n v="112"/>
    <n v="144"/>
    <n v="0.5625"/>
  </r>
  <r>
    <x v="34"/>
    <x v="1"/>
    <x v="2"/>
    <s v="Green"/>
    <x v="2"/>
    <x v="11"/>
    <n v="6"/>
    <x v="0"/>
    <n v="54"/>
    <n v="28"/>
    <n v="324"/>
    <n v="168"/>
    <n v="156"/>
    <n v="0.48148148148148145"/>
  </r>
  <r>
    <x v="184"/>
    <x v="5"/>
    <x v="0"/>
    <s v="Red"/>
    <x v="3"/>
    <x v="6"/>
    <n v="14"/>
    <x v="2"/>
    <n v="105"/>
    <n v="58"/>
    <n v="1470"/>
    <n v="812"/>
    <n v="658"/>
    <n v="0.44761904761904764"/>
  </r>
  <r>
    <x v="16"/>
    <x v="7"/>
    <x v="2"/>
    <s v="Blue"/>
    <x v="1"/>
    <x v="4"/>
    <n v="1"/>
    <x v="1"/>
    <n v="119"/>
    <n v="67"/>
    <n v="119"/>
    <n v="67"/>
    <n v="52"/>
    <n v="0.43697478991596639"/>
  </r>
  <r>
    <x v="153"/>
    <x v="4"/>
    <x v="0"/>
    <s v="Green"/>
    <x v="0"/>
    <x v="13"/>
    <n v="11"/>
    <x v="3"/>
    <n v="128"/>
    <n v="72"/>
    <n v="1408"/>
    <n v="792"/>
    <n v="616"/>
    <n v="0.4375"/>
  </r>
  <r>
    <x v="157"/>
    <x v="2"/>
    <x v="2"/>
    <s v="Black"/>
    <x v="1"/>
    <x v="4"/>
    <n v="9"/>
    <x v="0"/>
    <n v="32"/>
    <n v="14"/>
    <n v="288"/>
    <n v="126"/>
    <n v="162"/>
    <n v="0.5625"/>
  </r>
  <r>
    <x v="103"/>
    <x v="6"/>
    <x v="0"/>
    <s v="Green"/>
    <x v="3"/>
    <x v="13"/>
    <n v="2"/>
    <x v="0"/>
    <n v="112"/>
    <n v="64"/>
    <n v="224"/>
    <n v="128"/>
    <n v="96"/>
    <n v="0.42857142857142855"/>
  </r>
  <r>
    <x v="137"/>
    <x v="0"/>
    <x v="0"/>
    <s v="Brown"/>
    <x v="3"/>
    <x v="11"/>
    <n v="9"/>
    <x v="1"/>
    <n v="89"/>
    <n v="47"/>
    <n v="801"/>
    <n v="423"/>
    <n v="378"/>
    <n v="0.47191011235955055"/>
  </r>
  <r>
    <x v="49"/>
    <x v="7"/>
    <x v="0"/>
    <s v="Brown"/>
    <x v="3"/>
    <x v="13"/>
    <n v="8"/>
    <x v="1"/>
    <n v="119"/>
    <n v="67"/>
    <n v="952"/>
    <n v="536"/>
    <n v="416"/>
    <n v="0.43697478991596639"/>
  </r>
  <r>
    <x v="102"/>
    <x v="3"/>
    <x v="0"/>
    <s v="Green"/>
    <x v="0"/>
    <x v="3"/>
    <n v="9"/>
    <x v="0"/>
    <n v="76"/>
    <n v="39"/>
    <n v="684"/>
    <n v="351"/>
    <n v="333"/>
    <n v="0.48684210526315791"/>
  </r>
  <r>
    <x v="109"/>
    <x v="3"/>
    <x v="0"/>
    <s v="Black"/>
    <x v="1"/>
    <x v="2"/>
    <n v="11"/>
    <x v="1"/>
    <n v="76"/>
    <n v="39"/>
    <n v="836"/>
    <n v="429"/>
    <n v="407"/>
    <n v="0.48684210526315791"/>
  </r>
  <r>
    <x v="124"/>
    <x v="5"/>
    <x v="1"/>
    <s v="Black"/>
    <x v="1"/>
    <x v="13"/>
    <n v="8"/>
    <x v="0"/>
    <n v="105"/>
    <n v="58"/>
    <n v="840"/>
    <n v="464"/>
    <n v="376"/>
    <n v="0.44761904761904764"/>
  </r>
  <r>
    <x v="17"/>
    <x v="2"/>
    <x v="3"/>
    <s v="Green"/>
    <x v="3"/>
    <x v="8"/>
    <n v="7"/>
    <x v="2"/>
    <n v="32"/>
    <n v="14"/>
    <n v="224"/>
    <n v="98"/>
    <n v="126"/>
    <n v="0.5625"/>
  </r>
  <r>
    <x v="60"/>
    <x v="1"/>
    <x v="0"/>
    <s v="Red"/>
    <x v="4"/>
    <x v="7"/>
    <n v="8"/>
    <x v="2"/>
    <n v="54"/>
    <n v="28"/>
    <n v="432"/>
    <n v="224"/>
    <n v="208"/>
    <n v="0.48148148148148145"/>
  </r>
  <r>
    <x v="69"/>
    <x v="0"/>
    <x v="1"/>
    <s v="Red"/>
    <x v="3"/>
    <x v="13"/>
    <n v="13"/>
    <x v="3"/>
    <n v="89"/>
    <n v="47"/>
    <n v="1157"/>
    <n v="611"/>
    <n v="546"/>
    <n v="0.47191011235955055"/>
  </r>
  <r>
    <x v="185"/>
    <x v="6"/>
    <x v="1"/>
    <s v="Brown"/>
    <x v="3"/>
    <x v="0"/>
    <n v="14"/>
    <x v="1"/>
    <n v="112"/>
    <n v="64"/>
    <n v="1568"/>
    <n v="896"/>
    <n v="672"/>
    <n v="0.42857142857142855"/>
  </r>
  <r>
    <x v="26"/>
    <x v="0"/>
    <x v="3"/>
    <s v="Brown"/>
    <x v="1"/>
    <x v="7"/>
    <n v="11"/>
    <x v="3"/>
    <n v="89"/>
    <n v="47"/>
    <n v="979"/>
    <n v="517"/>
    <n v="462"/>
    <n v="0.47191011235955055"/>
  </r>
  <r>
    <x v="186"/>
    <x v="3"/>
    <x v="3"/>
    <s v="Green"/>
    <x v="3"/>
    <x v="11"/>
    <n v="14"/>
    <x v="1"/>
    <n v="76"/>
    <n v="39"/>
    <n v="1064"/>
    <n v="546"/>
    <n v="518"/>
    <n v="0.48684210526315791"/>
  </r>
  <r>
    <x v="17"/>
    <x v="4"/>
    <x v="0"/>
    <s v="Red"/>
    <x v="0"/>
    <x v="7"/>
    <n v="13"/>
    <x v="0"/>
    <n v="128"/>
    <n v="72"/>
    <n v="1664"/>
    <n v="936"/>
    <n v="728"/>
    <n v="0.4375"/>
  </r>
  <r>
    <x v="36"/>
    <x v="5"/>
    <x v="2"/>
    <s v="Black"/>
    <x v="0"/>
    <x v="4"/>
    <n v="9"/>
    <x v="3"/>
    <n v="105"/>
    <n v="58"/>
    <n v="945"/>
    <n v="522"/>
    <n v="423"/>
    <n v="0.44761904761904764"/>
  </r>
  <r>
    <x v="187"/>
    <x v="5"/>
    <x v="1"/>
    <s v="Brown"/>
    <x v="2"/>
    <x v="11"/>
    <n v="6"/>
    <x v="3"/>
    <n v="105"/>
    <n v="58"/>
    <n v="630"/>
    <n v="348"/>
    <n v="282"/>
    <n v="0.44761904761904764"/>
  </r>
  <r>
    <x v="97"/>
    <x v="6"/>
    <x v="1"/>
    <s v="Blue"/>
    <x v="2"/>
    <x v="10"/>
    <n v="12"/>
    <x v="2"/>
    <n v="112"/>
    <n v="64"/>
    <n v="1344"/>
    <n v="768"/>
    <n v="576"/>
    <n v="0.42857142857142855"/>
  </r>
  <r>
    <x v="75"/>
    <x v="4"/>
    <x v="3"/>
    <s v="Green"/>
    <x v="0"/>
    <x v="2"/>
    <n v="7"/>
    <x v="0"/>
    <n v="128"/>
    <n v="72"/>
    <n v="896"/>
    <n v="504"/>
    <n v="392"/>
    <n v="0.4375"/>
  </r>
  <r>
    <x v="187"/>
    <x v="1"/>
    <x v="1"/>
    <s v="Blue"/>
    <x v="2"/>
    <x v="0"/>
    <n v="14"/>
    <x v="3"/>
    <n v="54"/>
    <n v="28"/>
    <n v="756"/>
    <n v="392"/>
    <n v="364"/>
    <n v="0.48148148148148145"/>
  </r>
  <r>
    <x v="179"/>
    <x v="3"/>
    <x v="3"/>
    <s v="Blue"/>
    <x v="1"/>
    <x v="11"/>
    <n v="8"/>
    <x v="3"/>
    <n v="76"/>
    <n v="39"/>
    <n v="608"/>
    <n v="312"/>
    <n v="296"/>
    <n v="0.48684210526315791"/>
  </r>
  <r>
    <x v="74"/>
    <x v="5"/>
    <x v="0"/>
    <s v="Red"/>
    <x v="3"/>
    <x v="9"/>
    <n v="3"/>
    <x v="0"/>
    <n v="105"/>
    <n v="58"/>
    <n v="315"/>
    <n v="174"/>
    <n v="141"/>
    <n v="0.44761904761904764"/>
  </r>
  <r>
    <x v="61"/>
    <x v="3"/>
    <x v="0"/>
    <s v="Red"/>
    <x v="3"/>
    <x v="6"/>
    <n v="15"/>
    <x v="3"/>
    <n v="76"/>
    <n v="39"/>
    <n v="1140"/>
    <n v="585"/>
    <n v="555"/>
    <n v="0.48684210526315791"/>
  </r>
  <r>
    <x v="42"/>
    <x v="5"/>
    <x v="1"/>
    <s v="Brown"/>
    <x v="4"/>
    <x v="4"/>
    <n v="5"/>
    <x v="1"/>
    <n v="105"/>
    <n v="58"/>
    <n v="525"/>
    <n v="290"/>
    <n v="235"/>
    <n v="0.44761904761904764"/>
  </r>
  <r>
    <x v="65"/>
    <x v="5"/>
    <x v="1"/>
    <s v="Green"/>
    <x v="1"/>
    <x v="3"/>
    <n v="2"/>
    <x v="1"/>
    <n v="105"/>
    <n v="58"/>
    <n v="210"/>
    <n v="116"/>
    <n v="94"/>
    <n v="0.44761904761904764"/>
  </r>
  <r>
    <x v="187"/>
    <x v="4"/>
    <x v="2"/>
    <s v="Black"/>
    <x v="3"/>
    <x v="2"/>
    <n v="14"/>
    <x v="2"/>
    <n v="128"/>
    <n v="72"/>
    <n v="1792"/>
    <n v="1008"/>
    <n v="784"/>
    <n v="0.4375"/>
  </r>
  <r>
    <x v="64"/>
    <x v="4"/>
    <x v="0"/>
    <s v="Brown"/>
    <x v="2"/>
    <x v="1"/>
    <n v="5"/>
    <x v="0"/>
    <n v="128"/>
    <n v="72"/>
    <n v="640"/>
    <n v="360"/>
    <n v="280"/>
    <n v="0.4375"/>
  </r>
  <r>
    <x v="188"/>
    <x v="6"/>
    <x v="0"/>
    <s v="Blue"/>
    <x v="1"/>
    <x v="8"/>
    <n v="13"/>
    <x v="3"/>
    <n v="112"/>
    <n v="64"/>
    <n v="1456"/>
    <n v="832"/>
    <n v="624"/>
    <n v="0.42857142857142855"/>
  </r>
  <r>
    <x v="2"/>
    <x v="4"/>
    <x v="0"/>
    <s v="Green"/>
    <x v="2"/>
    <x v="3"/>
    <n v="3"/>
    <x v="0"/>
    <n v="128"/>
    <n v="72"/>
    <n v="384"/>
    <n v="216"/>
    <n v="168"/>
    <n v="0.4375"/>
  </r>
  <r>
    <x v="181"/>
    <x v="7"/>
    <x v="0"/>
    <s v="Green"/>
    <x v="1"/>
    <x v="12"/>
    <n v="8"/>
    <x v="1"/>
    <n v="119"/>
    <n v="67"/>
    <n v="952"/>
    <n v="536"/>
    <n v="416"/>
    <n v="0.43697478991596639"/>
  </r>
  <r>
    <x v="154"/>
    <x v="7"/>
    <x v="1"/>
    <s v="Red"/>
    <x v="1"/>
    <x v="12"/>
    <n v="1"/>
    <x v="3"/>
    <n v="119"/>
    <n v="67"/>
    <n v="119"/>
    <n v="67"/>
    <n v="52"/>
    <n v="0.43697478991596639"/>
  </r>
  <r>
    <x v="135"/>
    <x v="2"/>
    <x v="2"/>
    <s v="Blue"/>
    <x v="4"/>
    <x v="3"/>
    <n v="5"/>
    <x v="2"/>
    <n v="32"/>
    <n v="14"/>
    <n v="160"/>
    <n v="70"/>
    <n v="90"/>
    <n v="0.5625"/>
  </r>
  <r>
    <x v="156"/>
    <x v="7"/>
    <x v="2"/>
    <s v="Green"/>
    <x v="3"/>
    <x v="8"/>
    <n v="8"/>
    <x v="0"/>
    <n v="119"/>
    <n v="67"/>
    <n v="952"/>
    <n v="536"/>
    <n v="416"/>
    <n v="0.43697478991596639"/>
  </r>
  <r>
    <x v="187"/>
    <x v="2"/>
    <x v="0"/>
    <s v="Blue"/>
    <x v="4"/>
    <x v="5"/>
    <n v="4"/>
    <x v="1"/>
    <n v="32"/>
    <n v="14"/>
    <n v="128"/>
    <n v="56"/>
    <n v="72"/>
    <n v="0.5625"/>
  </r>
  <r>
    <x v="189"/>
    <x v="0"/>
    <x v="2"/>
    <s v="Blue"/>
    <x v="1"/>
    <x v="3"/>
    <n v="4"/>
    <x v="1"/>
    <n v="89"/>
    <n v="47"/>
    <n v="356"/>
    <n v="188"/>
    <n v="168"/>
    <n v="0.47191011235955055"/>
  </r>
  <r>
    <x v="89"/>
    <x v="6"/>
    <x v="2"/>
    <s v="Black"/>
    <x v="4"/>
    <x v="11"/>
    <n v="10"/>
    <x v="1"/>
    <n v="112"/>
    <n v="64"/>
    <n v="1120"/>
    <n v="640"/>
    <n v="480"/>
    <n v="0.42857142857142855"/>
  </r>
  <r>
    <x v="183"/>
    <x v="6"/>
    <x v="0"/>
    <s v="Red"/>
    <x v="3"/>
    <x v="0"/>
    <n v="8"/>
    <x v="2"/>
    <n v="112"/>
    <n v="64"/>
    <n v="896"/>
    <n v="512"/>
    <n v="384"/>
    <n v="0.42857142857142855"/>
  </r>
  <r>
    <x v="125"/>
    <x v="0"/>
    <x v="2"/>
    <s v="Green"/>
    <x v="0"/>
    <x v="3"/>
    <n v="5"/>
    <x v="0"/>
    <n v="89"/>
    <n v="47"/>
    <n v="445"/>
    <n v="235"/>
    <n v="210"/>
    <n v="0.47191011235955055"/>
  </r>
  <r>
    <x v="110"/>
    <x v="6"/>
    <x v="2"/>
    <s v="Red"/>
    <x v="2"/>
    <x v="13"/>
    <n v="2"/>
    <x v="1"/>
    <n v="112"/>
    <n v="64"/>
    <n v="224"/>
    <n v="128"/>
    <n v="96"/>
    <n v="0.42857142857142855"/>
  </r>
  <r>
    <x v="190"/>
    <x v="4"/>
    <x v="2"/>
    <s v="Red"/>
    <x v="2"/>
    <x v="13"/>
    <n v="6"/>
    <x v="3"/>
    <n v="128"/>
    <n v="72"/>
    <n v="768"/>
    <n v="432"/>
    <n v="336"/>
    <n v="0.4375"/>
  </r>
  <r>
    <x v="191"/>
    <x v="6"/>
    <x v="2"/>
    <s v="Blue"/>
    <x v="4"/>
    <x v="9"/>
    <n v="7"/>
    <x v="2"/>
    <n v="112"/>
    <n v="64"/>
    <n v="784"/>
    <n v="448"/>
    <n v="336"/>
    <n v="0.42857142857142855"/>
  </r>
  <r>
    <x v="176"/>
    <x v="3"/>
    <x v="0"/>
    <s v="Green"/>
    <x v="3"/>
    <x v="6"/>
    <n v="3"/>
    <x v="1"/>
    <n v="76"/>
    <n v="39"/>
    <n v="228"/>
    <n v="117"/>
    <n v="111"/>
    <n v="0.48684210526315791"/>
  </r>
  <r>
    <x v="131"/>
    <x v="0"/>
    <x v="0"/>
    <s v="Brown"/>
    <x v="1"/>
    <x v="13"/>
    <n v="5"/>
    <x v="0"/>
    <n v="89"/>
    <n v="47"/>
    <n v="445"/>
    <n v="235"/>
    <n v="210"/>
    <n v="0.47191011235955055"/>
  </r>
  <r>
    <x v="86"/>
    <x v="2"/>
    <x v="3"/>
    <s v="Green"/>
    <x v="1"/>
    <x v="5"/>
    <n v="3"/>
    <x v="0"/>
    <n v="32"/>
    <n v="14"/>
    <n v="96"/>
    <n v="42"/>
    <n v="54"/>
    <n v="0.5625"/>
  </r>
  <r>
    <x v="41"/>
    <x v="6"/>
    <x v="3"/>
    <s v="Red"/>
    <x v="2"/>
    <x v="9"/>
    <n v="7"/>
    <x v="2"/>
    <n v="112"/>
    <n v="64"/>
    <n v="784"/>
    <n v="448"/>
    <n v="336"/>
    <n v="0.42857142857142855"/>
  </r>
  <r>
    <x v="72"/>
    <x v="2"/>
    <x v="2"/>
    <s v="Brown"/>
    <x v="1"/>
    <x v="6"/>
    <n v="3"/>
    <x v="0"/>
    <n v="32"/>
    <n v="14"/>
    <n v="96"/>
    <n v="42"/>
    <n v="54"/>
    <n v="0.5625"/>
  </r>
  <r>
    <x v="16"/>
    <x v="4"/>
    <x v="0"/>
    <s v="Green"/>
    <x v="1"/>
    <x v="9"/>
    <n v="8"/>
    <x v="2"/>
    <n v="128"/>
    <n v="72"/>
    <n v="1024"/>
    <n v="576"/>
    <n v="448"/>
    <n v="0.4375"/>
  </r>
  <r>
    <x v="121"/>
    <x v="2"/>
    <x v="2"/>
    <s v="Red"/>
    <x v="3"/>
    <x v="10"/>
    <n v="3"/>
    <x v="1"/>
    <n v="32"/>
    <n v="14"/>
    <n v="96"/>
    <n v="42"/>
    <n v="54"/>
    <n v="0.5625"/>
  </r>
  <r>
    <x v="49"/>
    <x v="7"/>
    <x v="1"/>
    <s v="Blue"/>
    <x v="4"/>
    <x v="5"/>
    <n v="5"/>
    <x v="2"/>
    <n v="119"/>
    <n v="67"/>
    <n v="595"/>
    <n v="335"/>
    <n v="260"/>
    <n v="0.43697478991596639"/>
  </r>
  <r>
    <x v="148"/>
    <x v="0"/>
    <x v="2"/>
    <s v="Red"/>
    <x v="1"/>
    <x v="9"/>
    <n v="3"/>
    <x v="3"/>
    <n v="89"/>
    <n v="47"/>
    <n v="267"/>
    <n v="141"/>
    <n v="126"/>
    <n v="0.47191011235955055"/>
  </r>
  <r>
    <x v="151"/>
    <x v="5"/>
    <x v="0"/>
    <s v="Black"/>
    <x v="1"/>
    <x v="13"/>
    <n v="13"/>
    <x v="1"/>
    <n v="105"/>
    <n v="58"/>
    <n v="1365"/>
    <n v="754"/>
    <n v="611"/>
    <n v="0.44761904761904764"/>
  </r>
  <r>
    <x v="139"/>
    <x v="3"/>
    <x v="2"/>
    <s v="Red"/>
    <x v="1"/>
    <x v="8"/>
    <n v="12"/>
    <x v="2"/>
    <n v="76"/>
    <n v="39"/>
    <n v="912"/>
    <n v="468"/>
    <n v="444"/>
    <n v="0.48684210526315791"/>
  </r>
  <r>
    <x v="192"/>
    <x v="0"/>
    <x v="2"/>
    <s v="Black"/>
    <x v="1"/>
    <x v="5"/>
    <n v="3"/>
    <x v="1"/>
    <n v="89"/>
    <n v="47"/>
    <n v="267"/>
    <n v="141"/>
    <n v="126"/>
    <n v="0.47191011235955055"/>
  </r>
  <r>
    <x v="170"/>
    <x v="5"/>
    <x v="3"/>
    <s v="Brown"/>
    <x v="1"/>
    <x v="2"/>
    <n v="2"/>
    <x v="2"/>
    <n v="105"/>
    <n v="58"/>
    <n v="210"/>
    <n v="116"/>
    <n v="94"/>
    <n v="0.44761904761904764"/>
  </r>
  <r>
    <x v="155"/>
    <x v="4"/>
    <x v="0"/>
    <s v="Black"/>
    <x v="3"/>
    <x v="7"/>
    <n v="14"/>
    <x v="2"/>
    <n v="128"/>
    <n v="72"/>
    <n v="1792"/>
    <n v="1008"/>
    <n v="784"/>
    <n v="0.4375"/>
  </r>
  <r>
    <x v="87"/>
    <x v="6"/>
    <x v="0"/>
    <s v="Red"/>
    <x v="1"/>
    <x v="5"/>
    <n v="4"/>
    <x v="3"/>
    <n v="112"/>
    <n v="64"/>
    <n v="448"/>
    <n v="256"/>
    <n v="192"/>
    <n v="0.42857142857142855"/>
  </r>
  <r>
    <x v="193"/>
    <x v="1"/>
    <x v="0"/>
    <s v="Red"/>
    <x v="0"/>
    <x v="0"/>
    <n v="4"/>
    <x v="2"/>
    <n v="54"/>
    <n v="28"/>
    <n v="216"/>
    <n v="112"/>
    <n v="104"/>
    <n v="0.48148148148148145"/>
  </r>
  <r>
    <x v="38"/>
    <x v="3"/>
    <x v="0"/>
    <s v="Brown"/>
    <x v="1"/>
    <x v="1"/>
    <n v="4"/>
    <x v="1"/>
    <n v="76"/>
    <n v="39"/>
    <n v="304"/>
    <n v="156"/>
    <n v="148"/>
    <n v="0.48684210526315791"/>
  </r>
  <r>
    <x v="134"/>
    <x v="7"/>
    <x v="3"/>
    <s v="Black"/>
    <x v="0"/>
    <x v="0"/>
    <n v="1"/>
    <x v="2"/>
    <n v="119"/>
    <n v="67"/>
    <n v="119"/>
    <n v="67"/>
    <n v="52"/>
    <n v="0.43697478991596639"/>
  </r>
  <r>
    <x v="194"/>
    <x v="3"/>
    <x v="0"/>
    <s v="Red"/>
    <x v="3"/>
    <x v="13"/>
    <n v="5"/>
    <x v="2"/>
    <n v="76"/>
    <n v="39"/>
    <n v="380"/>
    <n v="195"/>
    <n v="185"/>
    <n v="0.48684210526315791"/>
  </r>
  <r>
    <x v="43"/>
    <x v="6"/>
    <x v="0"/>
    <s v="Brown"/>
    <x v="3"/>
    <x v="6"/>
    <n v="5"/>
    <x v="2"/>
    <n v="112"/>
    <n v="64"/>
    <n v="560"/>
    <n v="320"/>
    <n v="240"/>
    <n v="0.42857142857142855"/>
  </r>
  <r>
    <x v="173"/>
    <x v="6"/>
    <x v="0"/>
    <s v="Blue"/>
    <x v="4"/>
    <x v="4"/>
    <n v="3"/>
    <x v="2"/>
    <n v="112"/>
    <n v="64"/>
    <n v="336"/>
    <n v="192"/>
    <n v="144"/>
    <n v="0.42857142857142855"/>
  </r>
  <r>
    <x v="14"/>
    <x v="6"/>
    <x v="0"/>
    <s v="Blue"/>
    <x v="4"/>
    <x v="9"/>
    <n v="11"/>
    <x v="0"/>
    <n v="112"/>
    <n v="64"/>
    <n v="1232"/>
    <n v="704"/>
    <n v="528"/>
    <n v="0.42857142857142855"/>
  </r>
  <r>
    <x v="154"/>
    <x v="3"/>
    <x v="2"/>
    <s v="Black"/>
    <x v="1"/>
    <x v="13"/>
    <n v="9"/>
    <x v="3"/>
    <n v="76"/>
    <n v="39"/>
    <n v="684"/>
    <n v="351"/>
    <n v="333"/>
    <n v="0.48684210526315791"/>
  </r>
  <r>
    <x v="81"/>
    <x v="5"/>
    <x v="0"/>
    <s v="Blue"/>
    <x v="3"/>
    <x v="5"/>
    <n v="15"/>
    <x v="0"/>
    <n v="105"/>
    <n v="58"/>
    <n v="1575"/>
    <n v="870"/>
    <n v="705"/>
    <n v="0.44761904761904764"/>
  </r>
  <r>
    <x v="92"/>
    <x v="0"/>
    <x v="2"/>
    <s v="Blue"/>
    <x v="3"/>
    <x v="3"/>
    <n v="10"/>
    <x v="2"/>
    <n v="89"/>
    <n v="47"/>
    <n v="890"/>
    <n v="470"/>
    <n v="420"/>
    <n v="0.47191011235955055"/>
  </r>
  <r>
    <x v="133"/>
    <x v="7"/>
    <x v="0"/>
    <s v="Brown"/>
    <x v="3"/>
    <x v="7"/>
    <n v="5"/>
    <x v="2"/>
    <n v="119"/>
    <n v="67"/>
    <n v="595"/>
    <n v="335"/>
    <n v="260"/>
    <n v="0.43697478991596639"/>
  </r>
  <r>
    <x v="195"/>
    <x v="7"/>
    <x v="0"/>
    <s v="Green"/>
    <x v="1"/>
    <x v="6"/>
    <n v="9"/>
    <x v="2"/>
    <n v="119"/>
    <n v="67"/>
    <n v="1071"/>
    <n v="603"/>
    <n v="468"/>
    <n v="0.43697478991596639"/>
  </r>
  <r>
    <x v="36"/>
    <x v="0"/>
    <x v="0"/>
    <s v="Black"/>
    <x v="1"/>
    <x v="12"/>
    <n v="1"/>
    <x v="2"/>
    <n v="89"/>
    <n v="47"/>
    <n v="89"/>
    <n v="47"/>
    <n v="42"/>
    <n v="0.47191011235955055"/>
  </r>
  <r>
    <x v="24"/>
    <x v="3"/>
    <x v="2"/>
    <s v="Blue"/>
    <x v="1"/>
    <x v="2"/>
    <n v="8"/>
    <x v="1"/>
    <n v="76"/>
    <n v="39"/>
    <n v="608"/>
    <n v="312"/>
    <n v="296"/>
    <n v="0.48684210526315791"/>
  </r>
  <r>
    <x v="164"/>
    <x v="5"/>
    <x v="3"/>
    <s v="Green"/>
    <x v="1"/>
    <x v="8"/>
    <n v="8"/>
    <x v="3"/>
    <n v="105"/>
    <n v="58"/>
    <n v="840"/>
    <n v="464"/>
    <n v="376"/>
    <n v="0.44761904761904764"/>
  </r>
  <r>
    <x v="180"/>
    <x v="2"/>
    <x v="3"/>
    <s v="Red"/>
    <x v="1"/>
    <x v="7"/>
    <n v="9"/>
    <x v="1"/>
    <n v="32"/>
    <n v="14"/>
    <n v="288"/>
    <n v="126"/>
    <n v="162"/>
    <n v="0.5625"/>
  </r>
  <r>
    <x v="79"/>
    <x v="6"/>
    <x v="2"/>
    <s v="Black"/>
    <x v="0"/>
    <x v="10"/>
    <n v="10"/>
    <x v="0"/>
    <n v="112"/>
    <n v="64"/>
    <n v="1120"/>
    <n v="640"/>
    <n v="480"/>
    <n v="0.42857142857142855"/>
  </r>
  <r>
    <x v="194"/>
    <x v="4"/>
    <x v="3"/>
    <s v="Green"/>
    <x v="1"/>
    <x v="4"/>
    <n v="6"/>
    <x v="1"/>
    <n v="128"/>
    <n v="72"/>
    <n v="768"/>
    <n v="432"/>
    <n v="336"/>
    <n v="0.4375"/>
  </r>
  <r>
    <x v="164"/>
    <x v="4"/>
    <x v="0"/>
    <s v="Green"/>
    <x v="0"/>
    <x v="4"/>
    <n v="4"/>
    <x v="2"/>
    <n v="128"/>
    <n v="72"/>
    <n v="512"/>
    <n v="288"/>
    <n v="224"/>
    <n v="0.4375"/>
  </r>
  <r>
    <x v="75"/>
    <x v="0"/>
    <x v="0"/>
    <s v="Black"/>
    <x v="2"/>
    <x v="1"/>
    <n v="4"/>
    <x v="0"/>
    <n v="89"/>
    <n v="47"/>
    <n v="356"/>
    <n v="188"/>
    <n v="168"/>
    <n v="0.47191011235955055"/>
  </r>
  <r>
    <x v="23"/>
    <x v="3"/>
    <x v="0"/>
    <s v="Red"/>
    <x v="4"/>
    <x v="5"/>
    <n v="14"/>
    <x v="0"/>
    <n v="76"/>
    <n v="39"/>
    <n v="1064"/>
    <n v="546"/>
    <n v="518"/>
    <n v="0.48684210526315791"/>
  </r>
  <r>
    <x v="49"/>
    <x v="6"/>
    <x v="0"/>
    <s v="Green"/>
    <x v="4"/>
    <x v="5"/>
    <n v="8"/>
    <x v="1"/>
    <n v="112"/>
    <n v="64"/>
    <n v="896"/>
    <n v="512"/>
    <n v="384"/>
    <n v="0.42857142857142855"/>
  </r>
  <r>
    <x v="80"/>
    <x v="3"/>
    <x v="0"/>
    <s v="Black"/>
    <x v="1"/>
    <x v="5"/>
    <n v="3"/>
    <x v="1"/>
    <n v="76"/>
    <n v="39"/>
    <n v="228"/>
    <n v="117"/>
    <n v="111"/>
    <n v="0.48684210526315791"/>
  </r>
  <r>
    <x v="26"/>
    <x v="4"/>
    <x v="2"/>
    <s v="Red"/>
    <x v="1"/>
    <x v="7"/>
    <n v="10"/>
    <x v="0"/>
    <n v="128"/>
    <n v="72"/>
    <n v="1280"/>
    <n v="720"/>
    <n v="560"/>
    <n v="0.4375"/>
  </r>
  <r>
    <x v="34"/>
    <x v="1"/>
    <x v="1"/>
    <s v="Black"/>
    <x v="1"/>
    <x v="4"/>
    <n v="7"/>
    <x v="1"/>
    <n v="54"/>
    <n v="28"/>
    <n v="378"/>
    <n v="196"/>
    <n v="182"/>
    <n v="0.48148148148148145"/>
  </r>
  <r>
    <x v="118"/>
    <x v="7"/>
    <x v="0"/>
    <s v="Black"/>
    <x v="0"/>
    <x v="5"/>
    <n v="6"/>
    <x v="3"/>
    <n v="119"/>
    <n v="67"/>
    <n v="714"/>
    <n v="402"/>
    <n v="312"/>
    <n v="0.43697478991596639"/>
  </r>
  <r>
    <x v="106"/>
    <x v="2"/>
    <x v="0"/>
    <s v="Black"/>
    <x v="0"/>
    <x v="8"/>
    <n v="13"/>
    <x v="3"/>
    <n v="32"/>
    <n v="14"/>
    <n v="416"/>
    <n v="182"/>
    <n v="234"/>
    <n v="0.5625"/>
  </r>
  <r>
    <x v="196"/>
    <x v="0"/>
    <x v="2"/>
    <s v="Black"/>
    <x v="1"/>
    <x v="1"/>
    <n v="4"/>
    <x v="0"/>
    <n v="89"/>
    <n v="47"/>
    <n v="356"/>
    <n v="188"/>
    <n v="168"/>
    <n v="0.47191011235955055"/>
  </r>
  <r>
    <x v="197"/>
    <x v="7"/>
    <x v="0"/>
    <s v="Brown"/>
    <x v="3"/>
    <x v="11"/>
    <n v="3"/>
    <x v="0"/>
    <n v="119"/>
    <n v="67"/>
    <n v="357"/>
    <n v="201"/>
    <n v="156"/>
    <n v="0.43697478991596639"/>
  </r>
  <r>
    <x v="174"/>
    <x v="4"/>
    <x v="2"/>
    <s v="Brown"/>
    <x v="3"/>
    <x v="3"/>
    <n v="13"/>
    <x v="3"/>
    <n v="128"/>
    <n v="72"/>
    <n v="1664"/>
    <n v="936"/>
    <n v="728"/>
    <n v="0.4375"/>
  </r>
  <r>
    <x v="38"/>
    <x v="3"/>
    <x v="2"/>
    <s v="Brown"/>
    <x v="0"/>
    <x v="13"/>
    <n v="9"/>
    <x v="0"/>
    <n v="76"/>
    <n v="39"/>
    <n v="684"/>
    <n v="351"/>
    <n v="333"/>
    <n v="0.48684210526315791"/>
  </r>
  <r>
    <x v="145"/>
    <x v="1"/>
    <x v="2"/>
    <s v="Black"/>
    <x v="4"/>
    <x v="8"/>
    <n v="10"/>
    <x v="0"/>
    <n v="54"/>
    <n v="28"/>
    <n v="540"/>
    <n v="280"/>
    <n v="260"/>
    <n v="0.48148148148148145"/>
  </r>
  <r>
    <x v="13"/>
    <x v="7"/>
    <x v="2"/>
    <s v="Green"/>
    <x v="0"/>
    <x v="5"/>
    <n v="6"/>
    <x v="2"/>
    <n v="119"/>
    <n v="67"/>
    <n v="714"/>
    <n v="402"/>
    <n v="312"/>
    <n v="0.43697478991596639"/>
  </r>
  <r>
    <x v="3"/>
    <x v="2"/>
    <x v="2"/>
    <s v="Black"/>
    <x v="1"/>
    <x v="5"/>
    <n v="15"/>
    <x v="1"/>
    <n v="32"/>
    <n v="14"/>
    <n v="480"/>
    <n v="210"/>
    <n v="270"/>
    <n v="0.5625"/>
  </r>
  <r>
    <x v="28"/>
    <x v="7"/>
    <x v="0"/>
    <s v="Brown"/>
    <x v="1"/>
    <x v="2"/>
    <n v="11"/>
    <x v="1"/>
    <n v="119"/>
    <n v="67"/>
    <n v="1309"/>
    <n v="737"/>
    <n v="572"/>
    <n v="0.43697478991596639"/>
  </r>
  <r>
    <x v="131"/>
    <x v="0"/>
    <x v="2"/>
    <s v="Brown"/>
    <x v="3"/>
    <x v="12"/>
    <n v="9"/>
    <x v="2"/>
    <n v="89"/>
    <n v="47"/>
    <n v="801"/>
    <n v="423"/>
    <n v="378"/>
    <n v="0.47191011235955055"/>
  </r>
  <r>
    <x v="102"/>
    <x v="2"/>
    <x v="0"/>
    <s v="Brown"/>
    <x v="3"/>
    <x v="10"/>
    <n v="8"/>
    <x v="3"/>
    <n v="32"/>
    <n v="14"/>
    <n v="256"/>
    <n v="112"/>
    <n v="144"/>
    <n v="0.5625"/>
  </r>
  <r>
    <x v="198"/>
    <x v="3"/>
    <x v="0"/>
    <s v="Red"/>
    <x v="1"/>
    <x v="1"/>
    <n v="13"/>
    <x v="3"/>
    <n v="76"/>
    <n v="39"/>
    <n v="988"/>
    <n v="507"/>
    <n v="481"/>
    <n v="0.48684210526315791"/>
  </r>
  <r>
    <x v="193"/>
    <x v="4"/>
    <x v="2"/>
    <s v="Red"/>
    <x v="3"/>
    <x v="7"/>
    <n v="6"/>
    <x v="2"/>
    <n v="128"/>
    <n v="72"/>
    <n v="768"/>
    <n v="432"/>
    <n v="336"/>
    <n v="0.4375"/>
  </r>
  <r>
    <x v="116"/>
    <x v="5"/>
    <x v="2"/>
    <s v="Brown"/>
    <x v="2"/>
    <x v="8"/>
    <n v="3"/>
    <x v="3"/>
    <n v="105"/>
    <n v="58"/>
    <n v="315"/>
    <n v="174"/>
    <n v="141"/>
    <n v="0.44761904761904764"/>
  </r>
  <r>
    <x v="174"/>
    <x v="2"/>
    <x v="0"/>
    <s v="Brown"/>
    <x v="1"/>
    <x v="9"/>
    <n v="8"/>
    <x v="0"/>
    <n v="32"/>
    <n v="14"/>
    <n v="256"/>
    <n v="112"/>
    <n v="144"/>
    <n v="0.5625"/>
  </r>
  <r>
    <x v="98"/>
    <x v="0"/>
    <x v="0"/>
    <s v="Black"/>
    <x v="3"/>
    <x v="12"/>
    <n v="15"/>
    <x v="3"/>
    <n v="89"/>
    <n v="47"/>
    <n v="1335"/>
    <n v="705"/>
    <n v="630"/>
    <n v="0.47191011235955055"/>
  </r>
  <r>
    <x v="111"/>
    <x v="0"/>
    <x v="0"/>
    <s v="Red"/>
    <x v="1"/>
    <x v="3"/>
    <n v="2"/>
    <x v="0"/>
    <n v="89"/>
    <n v="47"/>
    <n v="178"/>
    <n v="94"/>
    <n v="84"/>
    <n v="0.47191011235955055"/>
  </r>
  <r>
    <x v="88"/>
    <x v="6"/>
    <x v="0"/>
    <s v="Red"/>
    <x v="1"/>
    <x v="9"/>
    <n v="10"/>
    <x v="3"/>
    <n v="112"/>
    <n v="64"/>
    <n v="1120"/>
    <n v="640"/>
    <n v="480"/>
    <n v="0.42857142857142855"/>
  </r>
  <r>
    <x v="50"/>
    <x v="1"/>
    <x v="0"/>
    <s v="Red"/>
    <x v="0"/>
    <x v="8"/>
    <n v="5"/>
    <x v="0"/>
    <n v="54"/>
    <n v="28"/>
    <n v="270"/>
    <n v="140"/>
    <n v="130"/>
    <n v="0.48148148148148145"/>
  </r>
  <r>
    <x v="199"/>
    <x v="2"/>
    <x v="0"/>
    <s v="Brown"/>
    <x v="3"/>
    <x v="2"/>
    <n v="15"/>
    <x v="2"/>
    <n v="32"/>
    <n v="14"/>
    <n v="480"/>
    <n v="210"/>
    <n v="270"/>
    <n v="0.5625"/>
  </r>
  <r>
    <x v="200"/>
    <x v="4"/>
    <x v="0"/>
    <s v="Black"/>
    <x v="4"/>
    <x v="11"/>
    <n v="15"/>
    <x v="2"/>
    <n v="128"/>
    <n v="72"/>
    <n v="1920"/>
    <n v="1080"/>
    <n v="840"/>
    <n v="0.4375"/>
  </r>
  <r>
    <x v="89"/>
    <x v="3"/>
    <x v="3"/>
    <s v="Red"/>
    <x v="1"/>
    <x v="1"/>
    <n v="10"/>
    <x v="1"/>
    <n v="76"/>
    <n v="39"/>
    <n v="760"/>
    <n v="390"/>
    <n v="370"/>
    <n v="0.48684210526315791"/>
  </r>
  <r>
    <x v="201"/>
    <x v="4"/>
    <x v="3"/>
    <s v="Red"/>
    <x v="1"/>
    <x v="2"/>
    <n v="5"/>
    <x v="0"/>
    <n v="128"/>
    <n v="72"/>
    <n v="640"/>
    <n v="360"/>
    <n v="280"/>
    <n v="0.4375"/>
  </r>
  <r>
    <x v="68"/>
    <x v="2"/>
    <x v="3"/>
    <s v="Brown"/>
    <x v="2"/>
    <x v="8"/>
    <n v="5"/>
    <x v="2"/>
    <n v="32"/>
    <n v="14"/>
    <n v="160"/>
    <n v="70"/>
    <n v="90"/>
    <n v="0.5625"/>
  </r>
  <r>
    <x v="113"/>
    <x v="1"/>
    <x v="3"/>
    <s v="Black"/>
    <x v="3"/>
    <x v="0"/>
    <n v="8"/>
    <x v="0"/>
    <n v="54"/>
    <n v="28"/>
    <n v="432"/>
    <n v="224"/>
    <n v="208"/>
    <n v="0.48148148148148145"/>
  </r>
  <r>
    <x v="49"/>
    <x v="5"/>
    <x v="0"/>
    <s v="Green"/>
    <x v="4"/>
    <x v="13"/>
    <n v="3"/>
    <x v="0"/>
    <n v="105"/>
    <n v="58"/>
    <n v="315"/>
    <n v="174"/>
    <n v="141"/>
    <n v="0.44761904761904764"/>
  </r>
  <r>
    <x v="202"/>
    <x v="4"/>
    <x v="2"/>
    <s v="Green"/>
    <x v="1"/>
    <x v="1"/>
    <n v="5"/>
    <x v="3"/>
    <n v="128"/>
    <n v="72"/>
    <n v="640"/>
    <n v="360"/>
    <n v="280"/>
    <n v="0.4375"/>
  </r>
  <r>
    <x v="111"/>
    <x v="2"/>
    <x v="2"/>
    <s v="Red"/>
    <x v="1"/>
    <x v="9"/>
    <n v="4"/>
    <x v="0"/>
    <n v="32"/>
    <n v="14"/>
    <n v="128"/>
    <n v="56"/>
    <n v="72"/>
    <n v="0.5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CF8A2B-AAAC-4D58-92A6-C416CEDA60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16">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5">
        <item x="2"/>
        <item x="0"/>
        <item x="3"/>
        <item x="1"/>
        <item t="default"/>
      </items>
    </pivotField>
    <pivotField showAll="0"/>
    <pivotField showAll="0"/>
    <pivotField showAll="0"/>
    <pivotField dataField="1" numFmtId="1" showAll="0"/>
    <pivotField showAll="0"/>
    <pivotField numFmtId="1" showAll="0"/>
    <pivotField numFmtId="1" showAll="0"/>
    <pivotField dataField="1" numFmtId="1" showAll="0"/>
    <pivotField dataField="1" numFmtId="1" showAll="0"/>
    <pivotField dataField="1" numFmtId="1" showAll="0"/>
    <pivotField dataField="1"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 Revenue" fld="10" baseField="0" baseItem="0" numFmtId="167"/>
    <dataField name=" Total_cost" fld="11" baseField="0" baseItem="0" numFmtId="167"/>
    <dataField name=" Profit" fld="12" baseField="0" baseItem="0" numFmtId="167"/>
    <dataField name=" Profit Margin" fld="13" subtotal="average" baseField="0" baseItem="3" numFmtId="9"/>
    <dataField name="Quantity Sold" fld="6" baseField="0" baseItem="0" numFmtId="166"/>
  </dataFields>
  <formats count="2">
    <format dxfId="18">
      <pivotArea outline="0" collapsedLevelsAreSubtotals="1" fieldPosition="0">
        <references count="1">
          <reference field="4294967294" count="1" selected="0">
            <x v="4"/>
          </reference>
        </references>
      </pivotArea>
    </format>
    <format dxfId="17">
      <pivotArea outline="0" collapsedLevelsAreSubtotals="1"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BF2BC1-5582-4FD0-87A9-FBD109DB29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s">
  <location ref="I3:K12" firstHeaderRow="0" firstDataRow="1" firstDataCol="1"/>
  <pivotFields count="16">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axis="axisRow" showAll="0">
      <items count="9">
        <item x="3"/>
        <item x="6"/>
        <item x="4"/>
        <item x="2"/>
        <item x="1"/>
        <item x="0"/>
        <item x="5"/>
        <item x="7"/>
        <item t="default"/>
      </items>
    </pivotField>
    <pivotField showAll="0">
      <items count="5">
        <item x="2"/>
        <item x="0"/>
        <item x="3"/>
        <item x="1"/>
        <item t="default"/>
      </items>
    </pivotField>
    <pivotField showAll="0"/>
    <pivotField showAll="0"/>
    <pivotField showAll="0"/>
    <pivotField numFmtId="1" showAll="0"/>
    <pivotField showAll="0"/>
    <pivotField numFmtId="1" showAll="0"/>
    <pivotField numFmtId="1" showAll="0"/>
    <pivotField dataField="1" numFmtId="1" showAll="0"/>
    <pivotField numFmtId="1" showAll="0"/>
    <pivotField dataField="1" numFmtI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Sum of Profit" fld="12" baseField="0" baseItem="0" numFmtId="1"/>
    <dataField name="Sum of Revenue" fld="10" baseField="0" baseItem="0" numFmtId="1"/>
  </dataFields>
  <formats count="3">
    <format dxfId="21">
      <pivotArea collapsedLevelsAreSubtotals="1" fieldPosition="0">
        <references count="1">
          <reference field="1" count="0"/>
        </references>
      </pivotArea>
    </format>
    <format dxfId="20">
      <pivotArea grandRow="1" outline="0" collapsedLevelsAreSubtotals="1" fieldPosition="0"/>
    </format>
    <format dxfId="19">
      <pivotArea outline="0" collapsedLevelsAreSubtotals="1" fieldPosition="0"/>
    </format>
  </formats>
  <chartFormats count="10">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1" count="1" selected="0">
            <x v="2"/>
          </reference>
        </references>
      </pivotArea>
    </chartFormat>
    <chartFormat chart="6" format="12" series="1">
      <pivotArea type="data" outline="0" fieldPosition="0">
        <references count="1">
          <reference field="4294967294"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 count="1" selected="0">
            <x v="2"/>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5D4E48-3AE8-4344-A43B-5788136583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T3:U12" firstHeaderRow="1" firstDataRow="1" firstDataCol="1"/>
  <pivotFields count="16">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items count="9">
        <item x="3"/>
        <item x="6"/>
        <item x="4"/>
        <item x="2"/>
        <item x="1"/>
        <item x="0"/>
        <item x="5"/>
        <item x="7"/>
        <item t="default"/>
      </items>
    </pivotField>
    <pivotField showAll="0">
      <items count="5">
        <item x="2"/>
        <item x="0"/>
        <item x="3"/>
        <item x="1"/>
        <item t="default"/>
      </items>
    </pivotField>
    <pivotField showAll="0"/>
    <pivotField showAll="0"/>
    <pivotField showAll="0"/>
    <pivotField numFmtId="1" showAll="0"/>
    <pivotField showAll="0"/>
    <pivotField numFmtId="1" showAll="0"/>
    <pivotField numFmtId="1" showAll="0"/>
    <pivotField dataField="1" numFmtId="1" showAll="0"/>
    <pivotField numFmtId="1" showAll="0"/>
    <pivotField numFmtId="1"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9">
    <i>
      <x v="1"/>
    </i>
    <i>
      <x v="2"/>
    </i>
    <i>
      <x v="3"/>
    </i>
    <i>
      <x v="4"/>
    </i>
    <i>
      <x v="5"/>
    </i>
    <i>
      <x v="6"/>
    </i>
    <i>
      <x v="7"/>
    </i>
    <i>
      <x v="8"/>
    </i>
    <i t="grand">
      <x/>
    </i>
  </rowItems>
  <colItems count="1">
    <i/>
  </colItems>
  <dataFields count="1">
    <dataField name="Sum of Revenue" fld="10" baseField="0" baseItem="0" numFmtId="166"/>
  </dataFields>
  <formats count="2">
    <format dxfId="23">
      <pivotArea grandRow="1" outline="0" collapsedLevelsAreSubtotals="1" fieldPosition="0"/>
    </format>
    <format dxfId="2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689E8E-7A6E-4E1B-986D-EBF408FDCB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Brand">
  <location ref="AM3:AN9" firstHeaderRow="1" firstDataRow="1" firstDataCol="1"/>
  <pivotFields count="16">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5">
        <item x="2"/>
        <item x="0"/>
        <item x="3"/>
        <item x="1"/>
        <item t="default"/>
      </items>
    </pivotField>
    <pivotField showAll="0"/>
    <pivotField axis="axisRow" showAll="0">
      <items count="6">
        <item x="1"/>
        <item x="0"/>
        <item x="4"/>
        <item x="2"/>
        <item x="3"/>
        <item t="default"/>
      </items>
    </pivotField>
    <pivotField showAll="0"/>
    <pivotField numFmtId="1" showAll="0"/>
    <pivotField showAll="0"/>
    <pivotField numFmtId="1" showAll="0"/>
    <pivotField numFmtId="1" showAll="0"/>
    <pivotField dataField="1" numFmtId="1" showAll="0"/>
    <pivotField numFmtId="1" showAll="0"/>
    <pivotField numFmtI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 Revenue" fld="10" baseField="0" baseItem="0" numFmtId="167"/>
  </dataFields>
  <formats count="1">
    <format dxfId="24">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7F3D40-E73D-4AD2-9709-915743BEFF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D2:AE7" firstHeaderRow="1" firstDataRow="1" firstDataCol="1"/>
  <pivotFields count="16">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axis="axisRow" showAll="0">
      <items count="5">
        <item x="2"/>
        <item x="0"/>
        <item x="3"/>
        <item x="1"/>
        <item t="default"/>
      </items>
    </pivotField>
    <pivotField showAll="0"/>
    <pivotField showAll="0"/>
    <pivotField showAll="0"/>
    <pivotField numFmtId="1" showAll="0"/>
    <pivotField showAll="0"/>
    <pivotField numFmtId="1" showAll="0"/>
    <pivotField numFmtId="1" showAll="0"/>
    <pivotField dataField="1" numFmtId="1" showAll="0"/>
    <pivotField numFmtId="1" showAll="0"/>
    <pivotField numFmtI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 Revenue" fld="10" baseField="0" baseItem="0" numFmtId="167"/>
  </dataFields>
  <formats count="1">
    <format dxfId="25">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AD0B2B-3BF0-4C7D-8D2D-87C7B363D7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ountry">
  <location ref="AW4:AY19" firstHeaderRow="0" firstDataRow="1" firstDataCol="1"/>
  <pivotFields count="16">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5">
        <item x="2"/>
        <item x="0"/>
        <item x="3"/>
        <item x="1"/>
        <item t="default"/>
      </items>
    </pivotField>
    <pivotField showAll="0"/>
    <pivotField showAll="0">
      <items count="6">
        <item x="1"/>
        <item x="0"/>
        <item x="4"/>
        <item x="2"/>
        <item x="3"/>
        <item t="default"/>
      </items>
    </pivotField>
    <pivotField axis="axisRow" showAll="0" sortType="descending">
      <items count="15">
        <item x="12"/>
        <item x="6"/>
        <item x="2"/>
        <item x="7"/>
        <item x="9"/>
        <item x="4"/>
        <item x="8"/>
        <item x="13"/>
        <item x="1"/>
        <item x="10"/>
        <item x="0"/>
        <item x="3"/>
        <item x="5"/>
        <item x="11"/>
        <item t="default"/>
      </items>
      <autoSortScope>
        <pivotArea dataOnly="0" outline="0" fieldPosition="0">
          <references count="1">
            <reference field="4294967294" count="1" selected="0">
              <x v="1"/>
            </reference>
          </references>
        </pivotArea>
      </autoSortScope>
    </pivotField>
    <pivotField numFmtId="1" showAll="0"/>
    <pivotField showAll="0"/>
    <pivotField numFmtId="1" showAll="0"/>
    <pivotField numFmtId="1" showAll="0"/>
    <pivotField dataField="1" numFmtId="1" showAll="0"/>
    <pivotField numFmtId="1" showAll="0"/>
    <pivotField dataField="1" numFmtI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5">
    <i>
      <x v="12"/>
    </i>
    <i>
      <x v="11"/>
    </i>
    <i>
      <x v="5"/>
    </i>
    <i>
      <x v="13"/>
    </i>
    <i>
      <x v="6"/>
    </i>
    <i>
      <x v="3"/>
    </i>
    <i>
      <x v="7"/>
    </i>
    <i>
      <x v="10"/>
    </i>
    <i>
      <x v="8"/>
    </i>
    <i>
      <x v="9"/>
    </i>
    <i>
      <x v="4"/>
    </i>
    <i>
      <x v="1"/>
    </i>
    <i>
      <x v="2"/>
    </i>
    <i>
      <x/>
    </i>
    <i t="grand">
      <x/>
    </i>
  </rowItems>
  <colFields count="1">
    <field x="-2"/>
  </colFields>
  <colItems count="2">
    <i>
      <x/>
    </i>
    <i i="1">
      <x v="1"/>
    </i>
  </colItems>
  <dataFields count="2">
    <dataField name=" Revenue" fld="10" baseField="0" baseItem="0" numFmtId="167"/>
    <dataField name=" Profit" fld="12" baseField="0" baseItem="0" numFmtId="169"/>
  </dataFields>
  <formats count="2">
    <format dxfId="27">
      <pivotArea outline="0" collapsedLevelsAreSubtotals="1" fieldPosition="0">
        <references count="1">
          <reference field="4294967294" count="1" selected="0">
            <x v="0"/>
          </reference>
        </references>
      </pivotArea>
    </format>
    <format dxfId="26">
      <pivotArea outline="0" collapsedLevelsAreSubtotals="1" fieldPosition="0">
        <references count="1">
          <reference field="4294967294" count="1" selected="0">
            <x v="1"/>
          </reference>
        </references>
      </pivotArea>
    </format>
  </formats>
  <chartFormats count="1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5" count="1" selected="0">
            <x v="12"/>
          </reference>
        </references>
      </pivotArea>
    </chartFormat>
    <chartFormat chart="11" format="2">
      <pivotArea type="data" outline="0" fieldPosition="0">
        <references count="2">
          <reference field="4294967294" count="1" selected="0">
            <x v="0"/>
          </reference>
          <reference field="5" count="1" selected="0">
            <x v="12"/>
          </reference>
        </references>
      </pivotArea>
    </chartFormat>
    <chartFormat chart="20"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4C565D-7D2A-4A73-89E9-F669986E6A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ayment type">
  <location ref="BJ4:BK9" firstHeaderRow="1" firstDataRow="1" firstDataCol="1"/>
  <pivotFields count="16">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items count="5">
        <item x="2"/>
        <item x="0"/>
        <item x="3"/>
        <item x="1"/>
        <item t="default"/>
      </items>
    </pivotField>
    <pivotField showAll="0"/>
    <pivotField showAll="0">
      <items count="6">
        <item x="1"/>
        <item x="0"/>
        <item x="4"/>
        <item x="2"/>
        <item x="3"/>
        <item t="default"/>
      </items>
    </pivotField>
    <pivotField showAll="0">
      <items count="15">
        <item x="12"/>
        <item x="6"/>
        <item x="2"/>
        <item x="7"/>
        <item x="9"/>
        <item x="4"/>
        <item x="8"/>
        <item x="13"/>
        <item x="1"/>
        <item x="10"/>
        <item x="0"/>
        <item x="3"/>
        <item x="5"/>
        <item x="11"/>
        <item t="default"/>
      </items>
    </pivotField>
    <pivotField numFmtId="1" showAll="0"/>
    <pivotField axis="axisRow" dataField="1" showAll="0">
      <items count="5">
        <item x="0"/>
        <item x="1"/>
        <item x="2"/>
        <item x="3"/>
        <item t="default"/>
      </items>
    </pivotField>
    <pivotField numFmtId="1" showAll="0"/>
    <pivotField numFmtId="1" showAll="0"/>
    <pivotField numFmtId="1" showAll="0"/>
    <pivotField numFmtId="1" showAll="0"/>
    <pivotField numFmtI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Count of Payment Type" fld="7" subtotal="count" baseField="0" baseItem="0"/>
  </dataFields>
  <chartFormats count="10">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 chart="15" format="4">
      <pivotArea type="data" outline="0" fieldPosition="0">
        <references count="2">
          <reference field="4294967294" count="1" selected="0">
            <x v="0"/>
          </reference>
          <reference field="7" count="1" selected="0">
            <x v="3"/>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7" count="1" selected="0">
            <x v="0"/>
          </reference>
        </references>
      </pivotArea>
    </chartFormat>
    <chartFormat chart="18" format="12">
      <pivotArea type="data" outline="0" fieldPosition="0">
        <references count="2">
          <reference field="4294967294" count="1" selected="0">
            <x v="0"/>
          </reference>
          <reference field="7" count="1" selected="0">
            <x v="1"/>
          </reference>
        </references>
      </pivotArea>
    </chartFormat>
    <chartFormat chart="18" format="13">
      <pivotArea type="data" outline="0" fieldPosition="0">
        <references count="2">
          <reference field="4294967294" count="1" selected="0">
            <x v="0"/>
          </reference>
          <reference field="7" count="1" selected="0">
            <x v="2"/>
          </reference>
        </references>
      </pivotArea>
    </chartFormat>
    <chartFormat chart="18"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066EF6-98E4-476A-A77A-DED04703BAEE}" sourceName="Category">
  <pivotTables>
    <pivotTable tabId="4" name="PivotTable1"/>
    <pivotTable tabId="4" name="PivotTable3"/>
    <pivotTable tabId="4" name="PivotTable4"/>
    <pivotTable tabId="4" name="PivotTable5"/>
    <pivotTable tabId="4" name="PivotTable6"/>
    <pivotTable tabId="4" name="PivotTable7"/>
    <pivotTable tabId="4" name="PivotTable8"/>
  </pivotTables>
  <data>
    <tabular pivotCacheId="1969549352">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353B612-1F9F-4A65-BE92-A026BBD9F4F3}"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9BDA635-A224-4F6D-ABF9-93EB073EDAC7}" cache="Slicer_Category" caption="Category" columnCount="4" showCaption="0"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4C11DE-558F-4F81-A493-D49A18E1FCD2}" name="ShoeSales" displayName="ShoeSales" ref="A1:N501" totalsRowShown="0" headerRowDxfId="16" dataDxfId="15" tableBorderDxfId="14">
  <autoFilter ref="A1:N501" xr:uid="{334C11DE-558F-4F81-A493-D49A18E1FCD2}"/>
  <tableColumns count="14">
    <tableColumn id="1" xr3:uid="{0001DD2F-8A4F-49AA-AA83-BA374247524A}" name="Date" dataDxfId="13"/>
    <tableColumn id="2" xr3:uid="{2343C379-2F56-445C-8720-83960357E01C}" name="Product" dataDxfId="12"/>
    <tableColumn id="3" xr3:uid="{29ADA0EF-C88B-458A-A0C6-66DADEF02383}" name="Category" dataDxfId="11"/>
    <tableColumn id="4" xr3:uid="{86098855-9509-413F-8517-BB205F962EAD}" name="Color" dataDxfId="10"/>
    <tableColumn id="5" xr3:uid="{F33C91C8-150F-4600-99A4-B39295927558}" name="Brand" dataDxfId="9">
      <calculatedColumnFormula>PROPER(TRIM(CLEAN(ShoeSales[[#This Row],[Brand]])))</calculatedColumnFormula>
    </tableColumn>
    <tableColumn id="6" xr3:uid="{B4BB1305-B0C7-47C6-BA42-AE3A39B800A8}" name="Country" dataDxfId="8"/>
    <tableColumn id="7" xr3:uid="{A75F2EDE-AB3C-4A6F-8BBB-A4F05920291E}" name="Quantity" dataDxfId="7"/>
    <tableColumn id="8" xr3:uid="{2FC0E4EC-D121-494B-96A8-81B892157C85}" name="Payment Type" dataDxfId="6"/>
    <tableColumn id="17" xr3:uid="{C3092D57-71DD-4FA4-9EFA-DB1CA9EA2845}" name="Unit_price" dataDxfId="5">
      <calculatedColumnFormula>VLOOKUP(ShoeSales[[#This Row],[Product]],Price!$A$2:C9,2,)</calculatedColumnFormula>
    </tableColumn>
    <tableColumn id="18" xr3:uid="{EE6B33D7-5DF1-4494-B893-6DF7BEA20FB3}" name="Unit_cost" dataDxfId="4">
      <calculatedColumnFormula>VLOOKUP(ShoeSales[[#This Row],[Product]],Price!$A$2:C9,3,)</calculatedColumnFormula>
    </tableColumn>
    <tableColumn id="19" xr3:uid="{A472A66E-D80C-452B-B781-B3A1677CD162}" name="Revenue" dataDxfId="3">
      <calculatedColumnFormula>ShoeSales[[#This Row],[Quantity]]*ShoeSales[[#This Row],[Unit_price]]</calculatedColumnFormula>
    </tableColumn>
    <tableColumn id="20" xr3:uid="{6D343539-12E9-425E-85D9-C707ACA51AC9}" name="Total_cost" dataDxfId="2">
      <calculatedColumnFormula>ShoeSales[[#This Row],[Quantity]]*ShoeSales[[#This Row],[Unit_cost]]</calculatedColumnFormula>
    </tableColumn>
    <tableColumn id="21" xr3:uid="{68488491-339B-4E2D-978B-6AC342B4AC48}" name="Profit" dataDxfId="1">
      <calculatedColumnFormula>ShoeSales[[#This Row],[Revenue]]-ShoeSales[[#This Row],[Total_cost]]</calculatedColumnFormula>
    </tableColumn>
    <tableColumn id="22" xr3:uid="{08E8D699-52A8-49E5-8823-CD78F40DA349}" name="Profit-margin" dataDxfId="0">
      <calculatedColumnFormula>ShoeSales[[#This Row],[Profit]]/ShoeSales[[#This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8"/>
  <sheetViews>
    <sheetView topLeftCell="A3" workbookViewId="0">
      <selection activeCell="B14" sqref="B14"/>
    </sheetView>
  </sheetViews>
  <sheetFormatPr defaultColWidth="14.42578125" defaultRowHeight="15" customHeight="1" x14ac:dyDescent="0.25"/>
  <cols>
    <col min="1" max="4" width="137.5703125" customWidth="1"/>
  </cols>
  <sheetData>
    <row r="1" spans="1:1" x14ac:dyDescent="0.25">
      <c r="A1" s="1" t="s">
        <v>2</v>
      </c>
    </row>
    <row r="4" spans="1:1" x14ac:dyDescent="0.25">
      <c r="A4" s="1" t="s">
        <v>11</v>
      </c>
    </row>
    <row r="6" spans="1:1" x14ac:dyDescent="0.25">
      <c r="A6" s="1" t="s">
        <v>13</v>
      </c>
    </row>
    <row r="8" spans="1:1" x14ac:dyDescent="0.25">
      <c r="A8" s="1" t="s">
        <v>14</v>
      </c>
    </row>
    <row r="10" spans="1:1" x14ac:dyDescent="0.25">
      <c r="A10" s="1" t="s">
        <v>16</v>
      </c>
    </row>
    <row r="12" spans="1:1" x14ac:dyDescent="0.25">
      <c r="A12" s="1" t="s">
        <v>17</v>
      </c>
    </row>
    <row r="14" spans="1:1" x14ac:dyDescent="0.25">
      <c r="A14" s="1" t="s">
        <v>18</v>
      </c>
    </row>
    <row r="16" spans="1:1" x14ac:dyDescent="0.25">
      <c r="A16" s="1" t="s">
        <v>19</v>
      </c>
    </row>
    <row r="18" spans="1:1" x14ac:dyDescent="0.25">
      <c r="A18" s="1" t="s">
        <v>21</v>
      </c>
    </row>
  </sheetData>
  <sortState xmlns:xlrd2="http://schemas.microsoft.com/office/spreadsheetml/2017/richdata2" ref="A14">
    <sortCondition sortBy="cellColor" ref="A1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7" sqref="B7"/>
    </sheetView>
  </sheetViews>
  <sheetFormatPr defaultColWidth="14.42578125" defaultRowHeight="15" customHeight="1" x14ac:dyDescent="0.25"/>
  <cols>
    <col min="1" max="1" width="12" style="9" customWidth="1"/>
    <col min="2" max="2" width="16" style="17" customWidth="1"/>
    <col min="3" max="3" width="14" style="17" customWidth="1"/>
    <col min="4" max="4" width="12" style="17" customWidth="1"/>
    <col min="5" max="5" width="18" style="17" customWidth="1"/>
    <col min="6" max="6" width="14" style="17" customWidth="1"/>
    <col min="7" max="7" width="13" style="19" customWidth="1"/>
    <col min="8" max="8" width="15.7109375" style="17" customWidth="1"/>
    <col min="9" max="13" width="8.7109375" style="19" customWidth="1"/>
    <col min="14" max="14" width="8.7109375" style="12" customWidth="1"/>
    <col min="15" max="25" width="8.7109375" customWidth="1"/>
  </cols>
  <sheetData>
    <row r="1" spans="1:14" ht="17.25" customHeight="1" x14ac:dyDescent="0.25">
      <c r="A1" s="6" t="s">
        <v>1</v>
      </c>
      <c r="B1" s="13" t="s">
        <v>0</v>
      </c>
      <c r="C1" s="13" t="s">
        <v>20</v>
      </c>
      <c r="D1" s="13" t="s">
        <v>22</v>
      </c>
      <c r="E1" s="13" t="s">
        <v>23</v>
      </c>
      <c r="F1" s="13" t="s">
        <v>24</v>
      </c>
      <c r="G1" s="18" t="s">
        <v>25</v>
      </c>
      <c r="H1" s="13" t="s">
        <v>26</v>
      </c>
      <c r="I1" s="20" t="s">
        <v>54</v>
      </c>
      <c r="J1" s="20" t="s">
        <v>55</v>
      </c>
      <c r="K1" s="20" t="s">
        <v>56</v>
      </c>
      <c r="L1" s="20" t="s">
        <v>57</v>
      </c>
      <c r="M1" s="20" t="s">
        <v>58</v>
      </c>
      <c r="N1" s="10" t="s">
        <v>59</v>
      </c>
    </row>
    <row r="2" spans="1:14" ht="14.25" customHeight="1" x14ac:dyDescent="0.25">
      <c r="A2" s="7">
        <v>46161</v>
      </c>
      <c r="B2" s="14" t="s">
        <v>5</v>
      </c>
      <c r="C2" s="15" t="s">
        <v>27</v>
      </c>
      <c r="D2" s="15" t="s">
        <v>28</v>
      </c>
      <c r="E2" s="14" t="str">
        <f ca="1">PROPER(TRIM(CLEAN(ShoeSales[[#This Row],[Brand]])))</f>
        <v>Nike</v>
      </c>
      <c r="F2" s="15" t="s">
        <v>29</v>
      </c>
      <c r="G2" s="3">
        <v>7</v>
      </c>
      <c r="H2" s="15" t="s">
        <v>30</v>
      </c>
      <c r="I2" s="5">
        <f>VLOOKUP(ShoeSales[[#This Row],[Product]],Price!$A$2:C9,2,)</f>
        <v>89</v>
      </c>
      <c r="J2" s="5">
        <f>VLOOKUP(ShoeSales[[#This Row],[Product]],Price!$A$2:C9,3,)</f>
        <v>47</v>
      </c>
      <c r="K2" s="5">
        <f>ShoeSales[[#This Row],[Quantity]]*ShoeSales[[#This Row],[Unit_price]]</f>
        <v>623</v>
      </c>
      <c r="L2" s="5">
        <f>ShoeSales[[#This Row],[Quantity]]*ShoeSales[[#This Row],[Unit_cost]]</f>
        <v>329</v>
      </c>
      <c r="M2" s="5">
        <f>ShoeSales[[#This Row],[Revenue]]-ShoeSales[[#This Row],[Total_cost]]</f>
        <v>294</v>
      </c>
      <c r="N2" s="11">
        <f>ShoeSales[[#This Row],[Profit]]/ShoeSales[[#This Row],[Revenue]]</f>
        <v>0.47191011235955055</v>
      </c>
    </row>
    <row r="3" spans="1:14" ht="14.25" customHeight="1" x14ac:dyDescent="0.25">
      <c r="A3" s="8">
        <v>46199</v>
      </c>
      <c r="B3" s="14" t="s">
        <v>6</v>
      </c>
      <c r="C3" s="16" t="s">
        <v>27</v>
      </c>
      <c r="D3" s="16" t="s">
        <v>31</v>
      </c>
      <c r="E3" s="14" t="str">
        <f ca="1">PROPER(TRIM(CLEAN(ShoeSales[[#This Row],[Brand]])))</f>
        <v>Nike</v>
      </c>
      <c r="F3" s="16" t="s">
        <v>29</v>
      </c>
      <c r="G3" s="4">
        <v>1</v>
      </c>
      <c r="H3" s="16" t="s">
        <v>32</v>
      </c>
      <c r="I3" s="5">
        <f>VLOOKUP(ShoeSales[[#This Row],[Product]],Price!$A$2:C10,2,)</f>
        <v>54</v>
      </c>
      <c r="J3" s="5">
        <f>VLOOKUP(ShoeSales[[#This Row],[Product]],Price!$A$2:C10,3,)</f>
        <v>28</v>
      </c>
      <c r="K3" s="5">
        <f>ShoeSales[[#This Row],[Quantity]]*ShoeSales[[#This Row],[Unit_price]]</f>
        <v>54</v>
      </c>
      <c r="L3" s="5">
        <f>ShoeSales[[#This Row],[Quantity]]*ShoeSales[[#This Row],[Unit_cost]]</f>
        <v>28</v>
      </c>
      <c r="M3" s="5">
        <f>ShoeSales[[#This Row],[Revenue]]-ShoeSales[[#This Row],[Total_cost]]</f>
        <v>26</v>
      </c>
      <c r="N3" s="11">
        <f>ShoeSales[[#This Row],[Profit]]/ShoeSales[[#This Row],[Revenue]]</f>
        <v>0.48148148148148145</v>
      </c>
    </row>
    <row r="4" spans="1:14" ht="14.25" customHeight="1" x14ac:dyDescent="0.25">
      <c r="A4" s="7">
        <v>46172</v>
      </c>
      <c r="B4" s="14" t="s">
        <v>7</v>
      </c>
      <c r="C4" s="15" t="s">
        <v>27</v>
      </c>
      <c r="D4" s="15" t="s">
        <v>33</v>
      </c>
      <c r="E4" s="14" t="str">
        <f ca="1">PROPER(TRIM(CLEAN(ShoeSales[[#This Row],[Brand]])))</f>
        <v>Clarks</v>
      </c>
      <c r="F4" s="15" t="s">
        <v>34</v>
      </c>
      <c r="G4" s="3">
        <v>7</v>
      </c>
      <c r="H4" s="15" t="s">
        <v>30</v>
      </c>
      <c r="I4" s="5">
        <f>VLOOKUP(ShoeSales[[#This Row],[Product]],Price!$A$2:C11,2,)</f>
        <v>32</v>
      </c>
      <c r="J4" s="5">
        <f>VLOOKUP(ShoeSales[[#This Row],[Product]],Price!$A$2:C11,3,)</f>
        <v>14</v>
      </c>
      <c r="K4" s="5">
        <f>ShoeSales[[#This Row],[Quantity]]*ShoeSales[[#This Row],[Unit_price]]</f>
        <v>224</v>
      </c>
      <c r="L4" s="5">
        <f>ShoeSales[[#This Row],[Quantity]]*ShoeSales[[#This Row],[Unit_cost]]</f>
        <v>98</v>
      </c>
      <c r="M4" s="5">
        <f>ShoeSales[[#This Row],[Revenue]]-ShoeSales[[#This Row],[Total_cost]]</f>
        <v>126</v>
      </c>
      <c r="N4" s="11">
        <f>ShoeSales[[#This Row],[Profit]]/ShoeSales[[#This Row],[Revenue]]</f>
        <v>0.5625</v>
      </c>
    </row>
    <row r="5" spans="1:14" ht="14.25" customHeight="1" x14ac:dyDescent="0.25">
      <c r="A5" s="8">
        <v>46214</v>
      </c>
      <c r="B5" s="14" t="s">
        <v>8</v>
      </c>
      <c r="C5" s="16" t="s">
        <v>37</v>
      </c>
      <c r="D5" s="16" t="s">
        <v>31</v>
      </c>
      <c r="E5" s="14" t="str">
        <f ca="1">PROPER(TRIM(CLEAN(ShoeSales[[#This Row],[Brand]])))</f>
        <v>Nike</v>
      </c>
      <c r="F5" s="16" t="s">
        <v>35</v>
      </c>
      <c r="G5" s="4">
        <v>6</v>
      </c>
      <c r="H5" s="16" t="s">
        <v>30</v>
      </c>
      <c r="I5" s="5">
        <f>VLOOKUP(ShoeSales[[#This Row],[Product]],Price!$A$2:C12,2,)</f>
        <v>76</v>
      </c>
      <c r="J5" s="5">
        <f>VLOOKUP(ShoeSales[[#This Row],[Product]],Price!$A$2:C12,3,)</f>
        <v>39</v>
      </c>
      <c r="K5" s="5">
        <f>ShoeSales[[#This Row],[Quantity]]*ShoeSales[[#This Row],[Unit_price]]</f>
        <v>456</v>
      </c>
      <c r="L5" s="5">
        <f>ShoeSales[[#This Row],[Quantity]]*ShoeSales[[#This Row],[Unit_cost]]</f>
        <v>234</v>
      </c>
      <c r="M5" s="5">
        <f>ShoeSales[[#This Row],[Revenue]]-ShoeSales[[#This Row],[Total_cost]]</f>
        <v>222</v>
      </c>
      <c r="N5" s="11">
        <f>ShoeSales[[#This Row],[Profit]]/ShoeSales[[#This Row],[Revenue]]</f>
        <v>0.48684210526315791</v>
      </c>
    </row>
    <row r="6" spans="1:14" ht="14.25" customHeight="1" x14ac:dyDescent="0.25">
      <c r="A6" s="7">
        <v>46130</v>
      </c>
      <c r="B6" s="14" t="s">
        <v>8</v>
      </c>
      <c r="C6" s="15" t="s">
        <v>48</v>
      </c>
      <c r="D6" s="15" t="s">
        <v>28</v>
      </c>
      <c r="E6" s="14" t="str">
        <f ca="1">PROPER(TRIM(CLEAN(ShoeSales[[#This Row],[Brand]])))</f>
        <v>Clarks</v>
      </c>
      <c r="F6" s="15" t="s">
        <v>36</v>
      </c>
      <c r="G6" s="3">
        <v>6</v>
      </c>
      <c r="H6" s="15" t="s">
        <v>30</v>
      </c>
      <c r="I6" s="5">
        <f>VLOOKUP(ShoeSales[[#This Row],[Product]],Price!$A$2:C13,2,)</f>
        <v>76</v>
      </c>
      <c r="J6" s="5">
        <f>VLOOKUP(ShoeSales[[#This Row],[Product]],Price!$A$2:C13,3,)</f>
        <v>39</v>
      </c>
      <c r="K6" s="5">
        <f>ShoeSales[[#This Row],[Quantity]]*ShoeSales[[#This Row],[Unit_price]]</f>
        <v>456</v>
      </c>
      <c r="L6" s="5">
        <f>ShoeSales[[#This Row],[Quantity]]*ShoeSales[[#This Row],[Unit_cost]]</f>
        <v>234</v>
      </c>
      <c r="M6" s="5">
        <f>ShoeSales[[#This Row],[Revenue]]-ShoeSales[[#This Row],[Total_cost]]</f>
        <v>222</v>
      </c>
      <c r="N6" s="11">
        <f>ShoeSales[[#This Row],[Profit]]/ShoeSales[[#This Row],[Revenue]]</f>
        <v>0.48684210526315791</v>
      </c>
    </row>
    <row r="7" spans="1:14" ht="14.25" customHeight="1" x14ac:dyDescent="0.25">
      <c r="A7" s="8">
        <v>46093</v>
      </c>
      <c r="B7" s="14" t="s">
        <v>9</v>
      </c>
      <c r="C7" s="16" t="s">
        <v>37</v>
      </c>
      <c r="D7" s="16" t="s">
        <v>38</v>
      </c>
      <c r="E7" s="14" t="str">
        <f ca="1">PROPER(TRIM(CLEAN(ShoeSales[[#This Row],[Brand]])))</f>
        <v>Nike</v>
      </c>
      <c r="F7" s="16" t="s">
        <v>39</v>
      </c>
      <c r="G7" s="4">
        <v>6</v>
      </c>
      <c r="H7" s="16" t="s">
        <v>32</v>
      </c>
      <c r="I7" s="5">
        <f>VLOOKUP(ShoeSales[[#This Row],[Product]],Price!$A$2:C14,2,)</f>
        <v>128</v>
      </c>
      <c r="J7" s="5">
        <f>VLOOKUP(ShoeSales[[#This Row],[Product]],Price!$A$2:C14,3,)</f>
        <v>72</v>
      </c>
      <c r="K7" s="5">
        <f>ShoeSales[[#This Row],[Quantity]]*ShoeSales[[#This Row],[Unit_price]]</f>
        <v>768</v>
      </c>
      <c r="L7" s="5">
        <f>ShoeSales[[#This Row],[Quantity]]*ShoeSales[[#This Row],[Unit_cost]]</f>
        <v>432</v>
      </c>
      <c r="M7" s="5">
        <f>ShoeSales[[#This Row],[Revenue]]-ShoeSales[[#This Row],[Total_cost]]</f>
        <v>336</v>
      </c>
      <c r="N7" s="11">
        <f>ShoeSales[[#This Row],[Profit]]/ShoeSales[[#This Row],[Revenue]]</f>
        <v>0.4375</v>
      </c>
    </row>
    <row r="8" spans="1:14" ht="14.25" customHeight="1" x14ac:dyDescent="0.25">
      <c r="A8" s="7">
        <v>46191</v>
      </c>
      <c r="B8" s="14" t="s">
        <v>9</v>
      </c>
      <c r="C8" s="15" t="s">
        <v>27</v>
      </c>
      <c r="D8" s="15" t="s">
        <v>33</v>
      </c>
      <c r="E8" s="14" t="str">
        <f ca="1">PROPER(TRIM(CLEAN(ShoeSales[[#This Row],[Brand]])))</f>
        <v>Clarks</v>
      </c>
      <c r="F8" s="15" t="s">
        <v>40</v>
      </c>
      <c r="G8" s="3">
        <v>13</v>
      </c>
      <c r="H8" s="15" t="s">
        <v>41</v>
      </c>
      <c r="I8" s="5">
        <f>VLOOKUP(ShoeSales[[#This Row],[Product]],Price!$A$2:C15,2,)</f>
        <v>128</v>
      </c>
      <c r="J8" s="5">
        <f>VLOOKUP(ShoeSales[[#This Row],[Product]],Price!$A$2:C15,3,)</f>
        <v>72</v>
      </c>
      <c r="K8" s="5">
        <f>ShoeSales[[#This Row],[Quantity]]*ShoeSales[[#This Row],[Unit_price]]</f>
        <v>1664</v>
      </c>
      <c r="L8" s="5">
        <f>ShoeSales[[#This Row],[Quantity]]*ShoeSales[[#This Row],[Unit_cost]]</f>
        <v>936</v>
      </c>
      <c r="M8" s="5">
        <f>ShoeSales[[#This Row],[Revenue]]-ShoeSales[[#This Row],[Total_cost]]</f>
        <v>728</v>
      </c>
      <c r="N8" s="11">
        <f>ShoeSales[[#This Row],[Profit]]/ShoeSales[[#This Row],[Revenue]]</f>
        <v>0.4375</v>
      </c>
    </row>
    <row r="9" spans="1:14" ht="14.25" customHeight="1" x14ac:dyDescent="0.25">
      <c r="A9" s="8">
        <v>46212</v>
      </c>
      <c r="B9" s="14" t="s">
        <v>5</v>
      </c>
      <c r="C9" s="16" t="s">
        <v>27</v>
      </c>
      <c r="D9" s="16" t="s">
        <v>42</v>
      </c>
      <c r="E9" s="14" t="str">
        <f ca="1">PROPER(TRIM(CLEAN(ShoeSales[[#This Row],[Brand]])))</f>
        <v>Timberland</v>
      </c>
      <c r="F9" s="16" t="s">
        <v>40</v>
      </c>
      <c r="G9" s="4">
        <v>12</v>
      </c>
      <c r="H9" s="16" t="s">
        <v>41</v>
      </c>
      <c r="I9" s="5">
        <f>VLOOKUP(ShoeSales[[#This Row],[Product]],Price!$A$2:C16,2,)</f>
        <v>89</v>
      </c>
      <c r="J9" s="5">
        <f>VLOOKUP(ShoeSales[[#This Row],[Product]],Price!$A$2:C16,3,)</f>
        <v>47</v>
      </c>
      <c r="K9" s="5">
        <f>ShoeSales[[#This Row],[Quantity]]*ShoeSales[[#This Row],[Unit_price]]</f>
        <v>1068</v>
      </c>
      <c r="L9" s="5">
        <f>ShoeSales[[#This Row],[Quantity]]*ShoeSales[[#This Row],[Unit_cost]]</f>
        <v>564</v>
      </c>
      <c r="M9" s="5">
        <f>ShoeSales[[#This Row],[Revenue]]-ShoeSales[[#This Row],[Total_cost]]</f>
        <v>504</v>
      </c>
      <c r="N9" s="11">
        <f>ShoeSales[[#This Row],[Profit]]/ShoeSales[[#This Row],[Revenue]]</f>
        <v>0.47191011235955055</v>
      </c>
    </row>
    <row r="10" spans="1:14" ht="14.25" customHeight="1" x14ac:dyDescent="0.25">
      <c r="A10" s="7">
        <v>46038</v>
      </c>
      <c r="B10" s="14" t="s">
        <v>7</v>
      </c>
      <c r="C10" s="15" t="s">
        <v>27</v>
      </c>
      <c r="D10" s="15" t="s">
        <v>33</v>
      </c>
      <c r="E10" s="14" t="str">
        <f ca="1">PROPER(TRIM(CLEAN(ShoeSales[[#This Row],[Brand]])))</f>
        <v>Clarks</v>
      </c>
      <c r="F10" s="15" t="s">
        <v>43</v>
      </c>
      <c r="G10" s="3">
        <v>10</v>
      </c>
      <c r="H10" s="15" t="s">
        <v>41</v>
      </c>
      <c r="I10" s="5">
        <f>VLOOKUP(ShoeSales[[#This Row],[Product]],Price!$A$2:C17,2,)</f>
        <v>32</v>
      </c>
      <c r="J10" s="5">
        <f>VLOOKUP(ShoeSales[[#This Row],[Product]],Price!$A$2:C17,3,)</f>
        <v>14</v>
      </c>
      <c r="K10" s="5">
        <f>ShoeSales[[#This Row],[Quantity]]*ShoeSales[[#This Row],[Unit_price]]</f>
        <v>320</v>
      </c>
      <c r="L10" s="5">
        <f>ShoeSales[[#This Row],[Quantity]]*ShoeSales[[#This Row],[Unit_cost]]</f>
        <v>140</v>
      </c>
      <c r="M10" s="5">
        <f>ShoeSales[[#This Row],[Revenue]]-ShoeSales[[#This Row],[Total_cost]]</f>
        <v>180</v>
      </c>
      <c r="N10" s="11">
        <f>ShoeSales[[#This Row],[Profit]]/ShoeSales[[#This Row],[Revenue]]</f>
        <v>0.5625</v>
      </c>
    </row>
    <row r="11" spans="1:14" ht="14.25" customHeight="1" x14ac:dyDescent="0.25">
      <c r="A11" s="8">
        <v>46182</v>
      </c>
      <c r="B11" s="14" t="s">
        <v>10</v>
      </c>
      <c r="C11" s="16" t="s">
        <v>27</v>
      </c>
      <c r="D11" s="16" t="s">
        <v>31</v>
      </c>
      <c r="E11" s="14" t="str">
        <f ca="1">PROPER(TRIM(CLEAN(ShoeSales[[#This Row],[Brand]])))</f>
        <v>Clarks</v>
      </c>
      <c r="F11" s="16" t="s">
        <v>44</v>
      </c>
      <c r="G11" s="4">
        <v>15</v>
      </c>
      <c r="H11" s="16" t="s">
        <v>45</v>
      </c>
      <c r="I11" s="5">
        <f>VLOOKUP(ShoeSales[[#This Row],[Product]],Price!$A$2:C18,2,)</f>
        <v>105</v>
      </c>
      <c r="J11" s="5">
        <f>VLOOKUP(ShoeSales[[#This Row],[Product]],Price!$A$2:C18,3,)</f>
        <v>58</v>
      </c>
      <c r="K11" s="5">
        <f>ShoeSales[[#This Row],[Quantity]]*ShoeSales[[#This Row],[Unit_price]]</f>
        <v>1575</v>
      </c>
      <c r="L11" s="5">
        <f>ShoeSales[[#This Row],[Quantity]]*ShoeSales[[#This Row],[Unit_cost]]</f>
        <v>870</v>
      </c>
      <c r="M11" s="5">
        <f>ShoeSales[[#This Row],[Revenue]]-ShoeSales[[#This Row],[Total_cost]]</f>
        <v>705</v>
      </c>
      <c r="N11" s="11">
        <f>ShoeSales[[#This Row],[Profit]]/ShoeSales[[#This Row],[Revenue]]</f>
        <v>0.44761904761904764</v>
      </c>
    </row>
    <row r="12" spans="1:14" ht="14.25" customHeight="1" x14ac:dyDescent="0.25">
      <c r="A12" s="7">
        <v>46132</v>
      </c>
      <c r="B12" s="14" t="s">
        <v>8</v>
      </c>
      <c r="C12" s="15" t="s">
        <v>27</v>
      </c>
      <c r="D12" s="15" t="s">
        <v>42</v>
      </c>
      <c r="E12" s="14" t="str">
        <f ca="1">PROPER(TRIM(CLEAN(ShoeSales[[#This Row],[Brand]])))</f>
        <v>Clarks</v>
      </c>
      <c r="F12" s="15" t="s">
        <v>46</v>
      </c>
      <c r="G12" s="3">
        <v>8</v>
      </c>
      <c r="H12" s="15" t="s">
        <v>30</v>
      </c>
      <c r="I12" s="5">
        <f>VLOOKUP(ShoeSales[[#This Row],[Product]],Price!$A$2:C19,2,)</f>
        <v>76</v>
      </c>
      <c r="J12" s="5">
        <f>VLOOKUP(ShoeSales[[#This Row],[Product]],Price!$A$2:C19,3,)</f>
        <v>39</v>
      </c>
      <c r="K12" s="5">
        <f>ShoeSales[[#This Row],[Quantity]]*ShoeSales[[#This Row],[Unit_price]]</f>
        <v>608</v>
      </c>
      <c r="L12" s="5">
        <f>ShoeSales[[#This Row],[Quantity]]*ShoeSales[[#This Row],[Unit_cost]]</f>
        <v>312</v>
      </c>
      <c r="M12" s="5">
        <f>ShoeSales[[#This Row],[Revenue]]-ShoeSales[[#This Row],[Total_cost]]</f>
        <v>296</v>
      </c>
      <c r="N12" s="11">
        <f>ShoeSales[[#This Row],[Profit]]/ShoeSales[[#This Row],[Revenue]]</f>
        <v>0.48684210526315791</v>
      </c>
    </row>
    <row r="13" spans="1:14" ht="14.25" customHeight="1" x14ac:dyDescent="0.25">
      <c r="A13" s="8">
        <v>46097</v>
      </c>
      <c r="B13" s="14" t="s">
        <v>6</v>
      </c>
      <c r="C13" s="16" t="s">
        <v>48</v>
      </c>
      <c r="D13" s="16" t="s">
        <v>33</v>
      </c>
      <c r="E13" s="14" t="str">
        <f ca="1">PROPER(TRIM(CLEAN(ShoeSales[[#This Row],[Brand]])))</f>
        <v>Clarks</v>
      </c>
      <c r="F13" s="16" t="s">
        <v>43</v>
      </c>
      <c r="G13" s="4">
        <v>9</v>
      </c>
      <c r="H13" s="16" t="s">
        <v>41</v>
      </c>
      <c r="I13" s="5">
        <f>VLOOKUP(ShoeSales[[#This Row],[Product]],Price!$A$2:C20,2,)</f>
        <v>54</v>
      </c>
      <c r="J13" s="5">
        <f>VLOOKUP(ShoeSales[[#This Row],[Product]],Price!$A$2:C20,3,)</f>
        <v>28</v>
      </c>
      <c r="K13" s="5">
        <f>ShoeSales[[#This Row],[Quantity]]*ShoeSales[[#This Row],[Unit_price]]</f>
        <v>486</v>
      </c>
      <c r="L13" s="5">
        <f>ShoeSales[[#This Row],[Quantity]]*ShoeSales[[#This Row],[Unit_cost]]</f>
        <v>252</v>
      </c>
      <c r="M13" s="5">
        <f>ShoeSales[[#This Row],[Revenue]]-ShoeSales[[#This Row],[Total_cost]]</f>
        <v>234</v>
      </c>
      <c r="N13" s="11">
        <f>ShoeSales[[#This Row],[Profit]]/ShoeSales[[#This Row],[Revenue]]</f>
        <v>0.48148148148148145</v>
      </c>
    </row>
    <row r="14" spans="1:14" ht="14.25" customHeight="1" x14ac:dyDescent="0.25">
      <c r="A14" s="7">
        <v>46146</v>
      </c>
      <c r="B14" s="14" t="s">
        <v>12</v>
      </c>
      <c r="C14" s="15" t="s">
        <v>37</v>
      </c>
      <c r="D14" s="15" t="s">
        <v>33</v>
      </c>
      <c r="E14" s="14" t="str">
        <f ca="1">PROPER(TRIM(CLEAN(ShoeSales[[#This Row],[Brand]])))</f>
        <v>Nike</v>
      </c>
      <c r="F14" s="15" t="s">
        <v>47</v>
      </c>
      <c r="G14" s="3">
        <v>14</v>
      </c>
      <c r="H14" s="15" t="s">
        <v>30</v>
      </c>
      <c r="I14" s="5">
        <f>VLOOKUP(ShoeSales[[#This Row],[Product]],Price!$A$2:C21,2,)</f>
        <v>112</v>
      </c>
      <c r="J14" s="5">
        <f>VLOOKUP(ShoeSales[[#This Row],[Product]],Price!$A$2:C21,3,)</f>
        <v>64</v>
      </c>
      <c r="K14" s="5">
        <f>ShoeSales[[#This Row],[Quantity]]*ShoeSales[[#This Row],[Unit_price]]</f>
        <v>1568</v>
      </c>
      <c r="L14" s="5">
        <f>ShoeSales[[#This Row],[Quantity]]*ShoeSales[[#This Row],[Unit_cost]]</f>
        <v>896</v>
      </c>
      <c r="M14" s="5">
        <f>ShoeSales[[#This Row],[Revenue]]-ShoeSales[[#This Row],[Total_cost]]</f>
        <v>672</v>
      </c>
      <c r="N14" s="11">
        <f>ShoeSales[[#This Row],[Profit]]/ShoeSales[[#This Row],[Revenue]]</f>
        <v>0.42857142857142855</v>
      </c>
    </row>
    <row r="15" spans="1:14" ht="14.25" customHeight="1" x14ac:dyDescent="0.25">
      <c r="A15" s="8">
        <v>46031</v>
      </c>
      <c r="B15" s="14" t="s">
        <v>10</v>
      </c>
      <c r="C15" s="16" t="s">
        <v>27</v>
      </c>
      <c r="D15" s="16" t="s">
        <v>33</v>
      </c>
      <c r="E15" s="14" t="str">
        <f ca="1">PROPER(TRIM(CLEAN(ShoeSales[[#This Row],[Brand]])))</f>
        <v>Timberland</v>
      </c>
      <c r="F15" s="16" t="s">
        <v>34</v>
      </c>
      <c r="G15" s="4">
        <v>4</v>
      </c>
      <c r="H15" s="16" t="s">
        <v>32</v>
      </c>
      <c r="I15" s="5">
        <f>VLOOKUP(ShoeSales[[#This Row],[Product]],Price!$A$2:C22,2,)</f>
        <v>105</v>
      </c>
      <c r="J15" s="5">
        <f>VLOOKUP(ShoeSales[[#This Row],[Product]],Price!$A$2:C22,3,)</f>
        <v>58</v>
      </c>
      <c r="K15" s="5">
        <f>ShoeSales[[#This Row],[Quantity]]*ShoeSales[[#This Row],[Unit_price]]</f>
        <v>420</v>
      </c>
      <c r="L15" s="5">
        <f>ShoeSales[[#This Row],[Quantity]]*ShoeSales[[#This Row],[Unit_cost]]</f>
        <v>232</v>
      </c>
      <c r="M15" s="5">
        <f>ShoeSales[[#This Row],[Revenue]]-ShoeSales[[#This Row],[Total_cost]]</f>
        <v>188</v>
      </c>
      <c r="N15" s="11">
        <f>ShoeSales[[#This Row],[Profit]]/ShoeSales[[#This Row],[Revenue]]</f>
        <v>0.44761904761904764</v>
      </c>
    </row>
    <row r="16" spans="1:14" ht="14.25" customHeight="1" x14ac:dyDescent="0.25">
      <c r="A16" s="7">
        <v>46199</v>
      </c>
      <c r="B16" s="14" t="s">
        <v>15</v>
      </c>
      <c r="C16" s="15" t="s">
        <v>27</v>
      </c>
      <c r="D16" s="15" t="s">
        <v>28</v>
      </c>
      <c r="E16" s="14" t="str">
        <f ca="1">PROPER(TRIM(CLEAN(ShoeSales[[#This Row],[Brand]])))</f>
        <v>Zara</v>
      </c>
      <c r="F16" s="15" t="s">
        <v>29</v>
      </c>
      <c r="G16" s="3">
        <v>6</v>
      </c>
      <c r="H16" s="15" t="s">
        <v>32</v>
      </c>
      <c r="I16" s="5">
        <f>VLOOKUP(ShoeSales[[#This Row],[Product]],Price!$A$2:C23,2,)</f>
        <v>119</v>
      </c>
      <c r="J16" s="5">
        <f>VLOOKUP(ShoeSales[[#This Row],[Product]],Price!$A$2:C23,3,)</f>
        <v>67</v>
      </c>
      <c r="K16" s="5">
        <f>ShoeSales[[#This Row],[Quantity]]*ShoeSales[[#This Row],[Unit_price]]</f>
        <v>714</v>
      </c>
      <c r="L16" s="5">
        <f>ShoeSales[[#This Row],[Quantity]]*ShoeSales[[#This Row],[Unit_cost]]</f>
        <v>402</v>
      </c>
      <c r="M16" s="5">
        <f>ShoeSales[[#This Row],[Revenue]]-ShoeSales[[#This Row],[Total_cost]]</f>
        <v>312</v>
      </c>
      <c r="N16" s="11">
        <f>ShoeSales[[#This Row],[Profit]]/ShoeSales[[#This Row],[Revenue]]</f>
        <v>0.43697478991596639</v>
      </c>
    </row>
    <row r="17" spans="1:14" ht="14.25" customHeight="1" x14ac:dyDescent="0.25">
      <c r="A17" s="8">
        <v>46226</v>
      </c>
      <c r="B17" s="14" t="s">
        <v>7</v>
      </c>
      <c r="C17" s="16" t="s">
        <v>48</v>
      </c>
      <c r="D17" s="16" t="s">
        <v>33</v>
      </c>
      <c r="E17" s="14" t="str">
        <f ca="1">PROPER(TRIM(CLEAN(ShoeSales[[#This Row],[Brand]])))</f>
        <v>Zara</v>
      </c>
      <c r="F17" s="16" t="s">
        <v>49</v>
      </c>
      <c r="G17" s="4">
        <v>10</v>
      </c>
      <c r="H17" s="16" t="s">
        <v>41</v>
      </c>
      <c r="I17" s="5">
        <f>VLOOKUP(ShoeSales[[#This Row],[Product]],Price!$A$2:C24,2,)</f>
        <v>32</v>
      </c>
      <c r="J17" s="5">
        <f>VLOOKUP(ShoeSales[[#This Row],[Product]],Price!$A$2:C24,3,)</f>
        <v>14</v>
      </c>
      <c r="K17" s="5">
        <f>ShoeSales[[#This Row],[Quantity]]*ShoeSales[[#This Row],[Unit_price]]</f>
        <v>320</v>
      </c>
      <c r="L17" s="5">
        <f>ShoeSales[[#This Row],[Quantity]]*ShoeSales[[#This Row],[Unit_cost]]</f>
        <v>140</v>
      </c>
      <c r="M17" s="5">
        <f>ShoeSales[[#This Row],[Revenue]]-ShoeSales[[#This Row],[Total_cost]]</f>
        <v>180</v>
      </c>
      <c r="N17" s="11">
        <f>ShoeSales[[#This Row],[Profit]]/ShoeSales[[#This Row],[Revenue]]</f>
        <v>0.5625</v>
      </c>
    </row>
    <row r="18" spans="1:14" ht="14.25" customHeight="1" x14ac:dyDescent="0.25">
      <c r="A18" s="7">
        <v>46125</v>
      </c>
      <c r="B18" s="14" t="s">
        <v>8</v>
      </c>
      <c r="C18" s="15" t="s">
        <v>52</v>
      </c>
      <c r="D18" s="15" t="s">
        <v>28</v>
      </c>
      <c r="E18" s="14" t="str">
        <f ca="1">PROPER(TRIM(CLEAN(ShoeSales[[#This Row],[Brand]])))</f>
        <v>Steve Madden</v>
      </c>
      <c r="F18" s="15" t="s">
        <v>34</v>
      </c>
      <c r="G18" s="3">
        <v>7</v>
      </c>
      <c r="H18" s="15" t="s">
        <v>30</v>
      </c>
      <c r="I18" s="5">
        <f>VLOOKUP(ShoeSales[[#This Row],[Product]],Price!$A$2:C25,2,)</f>
        <v>76</v>
      </c>
      <c r="J18" s="5">
        <f>VLOOKUP(ShoeSales[[#This Row],[Product]],Price!$A$2:C25,3,)</f>
        <v>39</v>
      </c>
      <c r="K18" s="5">
        <f>ShoeSales[[#This Row],[Quantity]]*ShoeSales[[#This Row],[Unit_price]]</f>
        <v>532</v>
      </c>
      <c r="L18" s="5">
        <f>ShoeSales[[#This Row],[Quantity]]*ShoeSales[[#This Row],[Unit_cost]]</f>
        <v>273</v>
      </c>
      <c r="M18" s="5">
        <f>ShoeSales[[#This Row],[Revenue]]-ShoeSales[[#This Row],[Total_cost]]</f>
        <v>259</v>
      </c>
      <c r="N18" s="11">
        <f>ShoeSales[[#This Row],[Profit]]/ShoeSales[[#This Row],[Revenue]]</f>
        <v>0.48684210526315791</v>
      </c>
    </row>
    <row r="19" spans="1:14" ht="14.25" customHeight="1" x14ac:dyDescent="0.25">
      <c r="A19" s="8">
        <v>46162</v>
      </c>
      <c r="B19" s="14" t="s">
        <v>7</v>
      </c>
      <c r="C19" s="16" t="s">
        <v>48</v>
      </c>
      <c r="D19" s="16" t="s">
        <v>38</v>
      </c>
      <c r="E19" s="14" t="str">
        <f ca="1">PROPER(TRIM(CLEAN(ShoeSales[[#This Row],[Brand]])))</f>
        <v>Clarks</v>
      </c>
      <c r="F19" s="16" t="s">
        <v>36</v>
      </c>
      <c r="G19" s="4">
        <v>7</v>
      </c>
      <c r="H19" s="16" t="s">
        <v>45</v>
      </c>
      <c r="I19" s="5">
        <f>VLOOKUP(ShoeSales[[#This Row],[Product]],Price!$A$2:C26,2,)</f>
        <v>32</v>
      </c>
      <c r="J19" s="5">
        <f>VLOOKUP(ShoeSales[[#This Row],[Product]],Price!$A$2:C26,3,)</f>
        <v>14</v>
      </c>
      <c r="K19" s="5">
        <f>ShoeSales[[#This Row],[Quantity]]*ShoeSales[[#This Row],[Unit_price]]</f>
        <v>224</v>
      </c>
      <c r="L19" s="5">
        <f>ShoeSales[[#This Row],[Quantity]]*ShoeSales[[#This Row],[Unit_cost]]</f>
        <v>98</v>
      </c>
      <c r="M19" s="5">
        <f>ShoeSales[[#This Row],[Revenue]]-ShoeSales[[#This Row],[Total_cost]]</f>
        <v>126</v>
      </c>
      <c r="N19" s="11">
        <f>ShoeSales[[#This Row],[Profit]]/ShoeSales[[#This Row],[Revenue]]</f>
        <v>0.5625</v>
      </c>
    </row>
    <row r="20" spans="1:14" ht="14.25" customHeight="1" x14ac:dyDescent="0.25">
      <c r="A20" s="7">
        <v>46112</v>
      </c>
      <c r="B20" s="14" t="s">
        <v>10</v>
      </c>
      <c r="C20" s="15" t="s">
        <v>52</v>
      </c>
      <c r="D20" s="15" t="s">
        <v>31</v>
      </c>
      <c r="E20" s="14" t="str">
        <f ca="1">PROPER(TRIM(CLEAN(ShoeSales[[#This Row],[Brand]])))</f>
        <v>Clarks</v>
      </c>
      <c r="F20" s="15" t="s">
        <v>36</v>
      </c>
      <c r="G20" s="3">
        <v>11</v>
      </c>
      <c r="H20" s="15" t="s">
        <v>41</v>
      </c>
      <c r="I20" s="5">
        <f>VLOOKUP(ShoeSales[[#This Row],[Product]],Price!$A$2:C27,2,)</f>
        <v>105</v>
      </c>
      <c r="J20" s="5">
        <f>VLOOKUP(ShoeSales[[#This Row],[Product]],Price!$A$2:C27,3,)</f>
        <v>58</v>
      </c>
      <c r="K20" s="5">
        <f>ShoeSales[[#This Row],[Quantity]]*ShoeSales[[#This Row],[Unit_price]]</f>
        <v>1155</v>
      </c>
      <c r="L20" s="5">
        <f>ShoeSales[[#This Row],[Quantity]]*ShoeSales[[#This Row],[Unit_cost]]</f>
        <v>638</v>
      </c>
      <c r="M20" s="5">
        <f>ShoeSales[[#This Row],[Revenue]]-ShoeSales[[#This Row],[Total_cost]]</f>
        <v>517</v>
      </c>
      <c r="N20" s="11">
        <f>ShoeSales[[#This Row],[Profit]]/ShoeSales[[#This Row],[Revenue]]</f>
        <v>0.44761904761904764</v>
      </c>
    </row>
    <row r="21" spans="1:14" ht="14.25" customHeight="1" x14ac:dyDescent="0.25">
      <c r="A21" s="8">
        <v>46147</v>
      </c>
      <c r="B21" s="14" t="s">
        <v>8</v>
      </c>
      <c r="C21" s="16" t="s">
        <v>37</v>
      </c>
      <c r="D21" s="16" t="s">
        <v>28</v>
      </c>
      <c r="E21" s="14" t="str">
        <f ca="1">PROPER(TRIM(CLEAN(ShoeSales[[#This Row],[Brand]])))</f>
        <v>Nike</v>
      </c>
      <c r="F21" s="16" t="s">
        <v>50</v>
      </c>
      <c r="G21" s="4">
        <v>6</v>
      </c>
      <c r="H21" s="16" t="s">
        <v>41</v>
      </c>
      <c r="I21" s="5">
        <f>VLOOKUP(ShoeSales[[#This Row],[Product]],Price!$A$2:C28,2,)</f>
        <v>76</v>
      </c>
      <c r="J21" s="5">
        <f>VLOOKUP(ShoeSales[[#This Row],[Product]],Price!$A$2:C28,3,)</f>
        <v>39</v>
      </c>
      <c r="K21" s="5">
        <f>ShoeSales[[#This Row],[Quantity]]*ShoeSales[[#This Row],[Unit_price]]</f>
        <v>456</v>
      </c>
      <c r="L21" s="5">
        <f>ShoeSales[[#This Row],[Quantity]]*ShoeSales[[#This Row],[Unit_cost]]</f>
        <v>234</v>
      </c>
      <c r="M21" s="5">
        <f>ShoeSales[[#This Row],[Revenue]]-ShoeSales[[#This Row],[Total_cost]]</f>
        <v>222</v>
      </c>
      <c r="N21" s="11">
        <f>ShoeSales[[#This Row],[Profit]]/ShoeSales[[#This Row],[Revenue]]</f>
        <v>0.48684210526315791</v>
      </c>
    </row>
    <row r="22" spans="1:14" ht="14.25" customHeight="1" x14ac:dyDescent="0.25">
      <c r="A22" s="7">
        <v>46241</v>
      </c>
      <c r="B22" s="14" t="s">
        <v>5</v>
      </c>
      <c r="C22" s="15" t="s">
        <v>27</v>
      </c>
      <c r="D22" s="15" t="s">
        <v>28</v>
      </c>
      <c r="E22" s="14" t="str">
        <f ca="1">PROPER(TRIM(CLEAN(ShoeSales[[#This Row],[Brand]])))</f>
        <v>Clarks</v>
      </c>
      <c r="F22" s="15" t="s">
        <v>47</v>
      </c>
      <c r="G22" s="3">
        <v>8</v>
      </c>
      <c r="H22" s="15" t="s">
        <v>32</v>
      </c>
      <c r="I22" s="5">
        <f>VLOOKUP(ShoeSales[[#This Row],[Product]],Price!$A$2:C29,2,)</f>
        <v>89</v>
      </c>
      <c r="J22" s="5">
        <f>VLOOKUP(ShoeSales[[#This Row],[Product]],Price!$A$2:C29,3,)</f>
        <v>47</v>
      </c>
      <c r="K22" s="5">
        <f>ShoeSales[[#This Row],[Quantity]]*ShoeSales[[#This Row],[Unit_price]]</f>
        <v>712</v>
      </c>
      <c r="L22" s="5">
        <f>ShoeSales[[#This Row],[Quantity]]*ShoeSales[[#This Row],[Unit_cost]]</f>
        <v>376</v>
      </c>
      <c r="M22" s="5">
        <f>ShoeSales[[#This Row],[Revenue]]-ShoeSales[[#This Row],[Total_cost]]</f>
        <v>336</v>
      </c>
      <c r="N22" s="11">
        <f>ShoeSales[[#This Row],[Profit]]/ShoeSales[[#This Row],[Revenue]]</f>
        <v>0.47191011235955055</v>
      </c>
    </row>
    <row r="23" spans="1:14" ht="14.25" customHeight="1" x14ac:dyDescent="0.25">
      <c r="A23" s="8">
        <v>46217</v>
      </c>
      <c r="B23" s="14" t="s">
        <v>12</v>
      </c>
      <c r="C23" s="16" t="s">
        <v>48</v>
      </c>
      <c r="D23" s="16" t="s">
        <v>33</v>
      </c>
      <c r="E23" s="14" t="str">
        <f ca="1">PROPER(TRIM(CLEAN(ShoeSales[[#This Row],[Brand]])))</f>
        <v>Steve Madden</v>
      </c>
      <c r="F23" s="16" t="s">
        <v>43</v>
      </c>
      <c r="G23" s="4">
        <v>5</v>
      </c>
      <c r="H23" s="16" t="s">
        <v>45</v>
      </c>
      <c r="I23" s="5">
        <f>VLOOKUP(ShoeSales[[#This Row],[Product]],Price!$A$2:C30,2,)</f>
        <v>112</v>
      </c>
      <c r="J23" s="5">
        <f>VLOOKUP(ShoeSales[[#This Row],[Product]],Price!$A$2:C30,3,)</f>
        <v>64</v>
      </c>
      <c r="K23" s="5">
        <f>ShoeSales[[#This Row],[Quantity]]*ShoeSales[[#This Row],[Unit_price]]</f>
        <v>560</v>
      </c>
      <c r="L23" s="5">
        <f>ShoeSales[[#This Row],[Quantity]]*ShoeSales[[#This Row],[Unit_cost]]</f>
        <v>320</v>
      </c>
      <c r="M23" s="5">
        <f>ShoeSales[[#This Row],[Revenue]]-ShoeSales[[#This Row],[Total_cost]]</f>
        <v>240</v>
      </c>
      <c r="N23" s="11">
        <f>ShoeSales[[#This Row],[Profit]]/ShoeSales[[#This Row],[Revenue]]</f>
        <v>0.42857142857142855</v>
      </c>
    </row>
    <row r="24" spans="1:14" ht="14.25" customHeight="1" x14ac:dyDescent="0.25">
      <c r="A24" s="7">
        <v>46034</v>
      </c>
      <c r="B24" s="14" t="s">
        <v>10</v>
      </c>
      <c r="C24" s="15" t="s">
        <v>27</v>
      </c>
      <c r="D24" s="15" t="s">
        <v>33</v>
      </c>
      <c r="E24" s="14" t="str">
        <f ca="1">PROPER(TRIM(CLEAN(ShoeSales[[#This Row],[Brand]])))</f>
        <v>Steve Madden</v>
      </c>
      <c r="F24" s="15" t="s">
        <v>50</v>
      </c>
      <c r="G24" s="3">
        <v>15</v>
      </c>
      <c r="H24" s="15" t="s">
        <v>32</v>
      </c>
      <c r="I24" s="5">
        <f>VLOOKUP(ShoeSales[[#This Row],[Product]],Price!$A$2:C31,2,)</f>
        <v>105</v>
      </c>
      <c r="J24" s="5">
        <f>VLOOKUP(ShoeSales[[#This Row],[Product]],Price!$A$2:C31,3,)</f>
        <v>58</v>
      </c>
      <c r="K24" s="5">
        <f>ShoeSales[[#This Row],[Quantity]]*ShoeSales[[#This Row],[Unit_price]]</f>
        <v>1575</v>
      </c>
      <c r="L24" s="5">
        <f>ShoeSales[[#This Row],[Quantity]]*ShoeSales[[#This Row],[Unit_cost]]</f>
        <v>870</v>
      </c>
      <c r="M24" s="5">
        <f>ShoeSales[[#This Row],[Revenue]]-ShoeSales[[#This Row],[Total_cost]]</f>
        <v>705</v>
      </c>
      <c r="N24" s="11">
        <f>ShoeSales[[#This Row],[Profit]]/ShoeSales[[#This Row],[Revenue]]</f>
        <v>0.44761904761904764</v>
      </c>
    </row>
    <row r="25" spans="1:14" ht="14.25" customHeight="1" x14ac:dyDescent="0.25">
      <c r="A25" s="8">
        <v>46050</v>
      </c>
      <c r="B25" s="14" t="s">
        <v>9</v>
      </c>
      <c r="C25" s="16" t="s">
        <v>27</v>
      </c>
      <c r="D25" s="16" t="s">
        <v>33</v>
      </c>
      <c r="E25" s="14" t="str">
        <f ca="1">PROPER(TRIM(CLEAN(ShoeSales[[#This Row],[Brand]])))</f>
        <v>Steve Madden</v>
      </c>
      <c r="F25" s="16" t="s">
        <v>44</v>
      </c>
      <c r="G25" s="4">
        <v>1</v>
      </c>
      <c r="H25" s="16" t="s">
        <v>32</v>
      </c>
      <c r="I25" s="5">
        <f>VLOOKUP(ShoeSales[[#This Row],[Product]],Price!$A$2:C32,2,)</f>
        <v>128</v>
      </c>
      <c r="J25" s="5">
        <f>VLOOKUP(ShoeSales[[#This Row],[Product]],Price!$A$2:C32,3,)</f>
        <v>72</v>
      </c>
      <c r="K25" s="5">
        <f>ShoeSales[[#This Row],[Quantity]]*ShoeSales[[#This Row],[Unit_price]]</f>
        <v>128</v>
      </c>
      <c r="L25" s="5">
        <f>ShoeSales[[#This Row],[Quantity]]*ShoeSales[[#This Row],[Unit_cost]]</f>
        <v>72</v>
      </c>
      <c r="M25" s="5">
        <f>ShoeSales[[#This Row],[Revenue]]-ShoeSales[[#This Row],[Total_cost]]</f>
        <v>56</v>
      </c>
      <c r="N25" s="11">
        <f>ShoeSales[[#This Row],[Profit]]/ShoeSales[[#This Row],[Revenue]]</f>
        <v>0.4375</v>
      </c>
    </row>
    <row r="26" spans="1:14" ht="14.25" customHeight="1" x14ac:dyDescent="0.25">
      <c r="A26" s="7">
        <v>46035</v>
      </c>
      <c r="B26" s="14" t="s">
        <v>8</v>
      </c>
      <c r="C26" s="15" t="s">
        <v>48</v>
      </c>
      <c r="D26" s="15" t="s">
        <v>38</v>
      </c>
      <c r="E26" s="14" t="str">
        <f ca="1">PROPER(TRIM(CLEAN(ShoeSales[[#This Row],[Brand]])))</f>
        <v>Clarks</v>
      </c>
      <c r="F26" s="15" t="s">
        <v>39</v>
      </c>
      <c r="G26" s="3">
        <v>12</v>
      </c>
      <c r="H26" s="15" t="s">
        <v>41</v>
      </c>
      <c r="I26" s="5">
        <f>VLOOKUP(ShoeSales[[#This Row],[Product]],Price!$A$2:C33,2,)</f>
        <v>76</v>
      </c>
      <c r="J26" s="5">
        <f>VLOOKUP(ShoeSales[[#This Row],[Product]],Price!$A$2:C33,3,)</f>
        <v>39</v>
      </c>
      <c r="K26" s="5">
        <f>ShoeSales[[#This Row],[Quantity]]*ShoeSales[[#This Row],[Unit_price]]</f>
        <v>912</v>
      </c>
      <c r="L26" s="5">
        <f>ShoeSales[[#This Row],[Quantity]]*ShoeSales[[#This Row],[Unit_cost]]</f>
        <v>468</v>
      </c>
      <c r="M26" s="5">
        <f>ShoeSales[[#This Row],[Revenue]]-ShoeSales[[#This Row],[Total_cost]]</f>
        <v>444</v>
      </c>
      <c r="N26" s="11">
        <f>ShoeSales[[#This Row],[Profit]]/ShoeSales[[#This Row],[Revenue]]</f>
        <v>0.48684210526315791</v>
      </c>
    </row>
    <row r="27" spans="1:14" ht="14.25" customHeight="1" x14ac:dyDescent="0.25">
      <c r="A27" s="8">
        <v>46094</v>
      </c>
      <c r="B27" s="14" t="s">
        <v>6</v>
      </c>
      <c r="C27" s="16" t="s">
        <v>37</v>
      </c>
      <c r="D27" s="16" t="s">
        <v>33</v>
      </c>
      <c r="E27" s="14" t="str">
        <f ca="1">PROPER(TRIM(CLEAN(ShoeSales[[#This Row],[Brand]])))</f>
        <v>Steve Madden</v>
      </c>
      <c r="F27" s="16" t="s">
        <v>46</v>
      </c>
      <c r="G27" s="4">
        <v>9</v>
      </c>
      <c r="H27" s="16" t="s">
        <v>45</v>
      </c>
      <c r="I27" s="5">
        <f>VLOOKUP(ShoeSales[[#This Row],[Product]],Price!$A$2:C34,2,)</f>
        <v>54</v>
      </c>
      <c r="J27" s="5">
        <f>VLOOKUP(ShoeSales[[#This Row],[Product]],Price!$A$2:C34,3,)</f>
        <v>28</v>
      </c>
      <c r="K27" s="5">
        <f>ShoeSales[[#This Row],[Quantity]]*ShoeSales[[#This Row],[Unit_price]]</f>
        <v>486</v>
      </c>
      <c r="L27" s="5">
        <f>ShoeSales[[#This Row],[Quantity]]*ShoeSales[[#This Row],[Unit_cost]]</f>
        <v>252</v>
      </c>
      <c r="M27" s="5">
        <f>ShoeSales[[#This Row],[Revenue]]-ShoeSales[[#This Row],[Total_cost]]</f>
        <v>234</v>
      </c>
      <c r="N27" s="11">
        <f>ShoeSales[[#This Row],[Profit]]/ShoeSales[[#This Row],[Revenue]]</f>
        <v>0.48148148148148145</v>
      </c>
    </row>
    <row r="28" spans="1:14" ht="14.25" customHeight="1" x14ac:dyDescent="0.25">
      <c r="A28" s="7">
        <v>46214</v>
      </c>
      <c r="B28" s="14" t="s">
        <v>10</v>
      </c>
      <c r="C28" s="15" t="s">
        <v>27</v>
      </c>
      <c r="D28" s="15" t="s">
        <v>33</v>
      </c>
      <c r="E28" s="14" t="str">
        <f ca="1">PROPER(TRIM(CLEAN(ShoeSales[[#This Row],[Brand]])))</f>
        <v>Clarks</v>
      </c>
      <c r="F28" s="15" t="s">
        <v>39</v>
      </c>
      <c r="G28" s="3">
        <v>5</v>
      </c>
      <c r="H28" s="15" t="s">
        <v>45</v>
      </c>
      <c r="I28" s="5">
        <f>VLOOKUP(ShoeSales[[#This Row],[Product]],Price!$A$2:C35,2,)</f>
        <v>105</v>
      </c>
      <c r="J28" s="5">
        <f>VLOOKUP(ShoeSales[[#This Row],[Product]],Price!$A$2:C35,3,)</f>
        <v>58</v>
      </c>
      <c r="K28" s="5">
        <f>ShoeSales[[#This Row],[Quantity]]*ShoeSales[[#This Row],[Unit_price]]</f>
        <v>525</v>
      </c>
      <c r="L28" s="5">
        <f>ShoeSales[[#This Row],[Quantity]]*ShoeSales[[#This Row],[Unit_cost]]</f>
        <v>290</v>
      </c>
      <c r="M28" s="5">
        <f>ShoeSales[[#This Row],[Revenue]]-ShoeSales[[#This Row],[Total_cost]]</f>
        <v>235</v>
      </c>
      <c r="N28" s="11">
        <f>ShoeSales[[#This Row],[Profit]]/ShoeSales[[#This Row],[Revenue]]</f>
        <v>0.44761904761904764</v>
      </c>
    </row>
    <row r="29" spans="1:14" ht="14.25" customHeight="1" x14ac:dyDescent="0.25">
      <c r="A29" s="8">
        <v>46091</v>
      </c>
      <c r="B29" s="14" t="s">
        <v>6</v>
      </c>
      <c r="C29" s="16" t="s">
        <v>48</v>
      </c>
      <c r="D29" s="16" t="s">
        <v>33</v>
      </c>
      <c r="E29" s="14" t="str">
        <f ca="1">PROPER(TRIM(CLEAN(ShoeSales[[#This Row],[Brand]])))</f>
        <v>Clarks</v>
      </c>
      <c r="F29" s="16" t="s">
        <v>50</v>
      </c>
      <c r="G29" s="4">
        <v>8</v>
      </c>
      <c r="H29" s="16" t="s">
        <v>30</v>
      </c>
      <c r="I29" s="5">
        <f>VLOOKUP(ShoeSales[[#This Row],[Product]],Price!$A$2:C36,2,)</f>
        <v>54</v>
      </c>
      <c r="J29" s="5">
        <f>VLOOKUP(ShoeSales[[#This Row],[Product]],Price!$A$2:C36,3,)</f>
        <v>28</v>
      </c>
      <c r="K29" s="5">
        <f>ShoeSales[[#This Row],[Quantity]]*ShoeSales[[#This Row],[Unit_price]]</f>
        <v>432</v>
      </c>
      <c r="L29" s="5">
        <f>ShoeSales[[#This Row],[Quantity]]*ShoeSales[[#This Row],[Unit_cost]]</f>
        <v>224</v>
      </c>
      <c r="M29" s="5">
        <f>ShoeSales[[#This Row],[Revenue]]-ShoeSales[[#This Row],[Total_cost]]</f>
        <v>208</v>
      </c>
      <c r="N29" s="11">
        <f>ShoeSales[[#This Row],[Profit]]/ShoeSales[[#This Row],[Revenue]]</f>
        <v>0.48148148148148145</v>
      </c>
    </row>
    <row r="30" spans="1:14" ht="14.25" customHeight="1" x14ac:dyDescent="0.25">
      <c r="A30" s="7">
        <v>46142</v>
      </c>
      <c r="B30" s="14" t="s">
        <v>10</v>
      </c>
      <c r="C30" s="15" t="s">
        <v>27</v>
      </c>
      <c r="D30" s="15" t="s">
        <v>28</v>
      </c>
      <c r="E30" s="14" t="str">
        <f ca="1">PROPER(TRIM(CLEAN(ShoeSales[[#This Row],[Brand]])))</f>
        <v>Zara</v>
      </c>
      <c r="F30" s="15" t="s">
        <v>34</v>
      </c>
      <c r="G30" s="3">
        <v>2</v>
      </c>
      <c r="H30" s="15" t="s">
        <v>30</v>
      </c>
      <c r="I30" s="5">
        <f>VLOOKUP(ShoeSales[[#This Row],[Product]],Price!$A$2:C37,2,)</f>
        <v>105</v>
      </c>
      <c r="J30" s="5">
        <f>VLOOKUP(ShoeSales[[#This Row],[Product]],Price!$A$2:C37,3,)</f>
        <v>58</v>
      </c>
      <c r="K30" s="5">
        <f>ShoeSales[[#This Row],[Quantity]]*ShoeSales[[#This Row],[Unit_price]]</f>
        <v>210</v>
      </c>
      <c r="L30" s="5">
        <f>ShoeSales[[#This Row],[Quantity]]*ShoeSales[[#This Row],[Unit_cost]]</f>
        <v>116</v>
      </c>
      <c r="M30" s="5">
        <f>ShoeSales[[#This Row],[Revenue]]-ShoeSales[[#This Row],[Total_cost]]</f>
        <v>94</v>
      </c>
      <c r="N30" s="11">
        <f>ShoeSales[[#This Row],[Profit]]/ShoeSales[[#This Row],[Revenue]]</f>
        <v>0.44761904761904764</v>
      </c>
    </row>
    <row r="31" spans="1:14" ht="14.25" customHeight="1" x14ac:dyDescent="0.25">
      <c r="A31" s="8">
        <v>46068</v>
      </c>
      <c r="B31" s="14" t="s">
        <v>5</v>
      </c>
      <c r="C31" s="16" t="s">
        <v>27</v>
      </c>
      <c r="D31" s="16" t="s">
        <v>38</v>
      </c>
      <c r="E31" s="14" t="str">
        <f ca="1">PROPER(TRIM(CLEAN(ShoeSales[[#This Row],[Brand]])))</f>
        <v>Zara</v>
      </c>
      <c r="F31" s="16" t="s">
        <v>51</v>
      </c>
      <c r="G31" s="4">
        <v>7</v>
      </c>
      <c r="H31" s="16" t="s">
        <v>41</v>
      </c>
      <c r="I31" s="5">
        <f>VLOOKUP(ShoeSales[[#This Row],[Product]],Price!$A$2:C38,2,)</f>
        <v>89</v>
      </c>
      <c r="J31" s="5">
        <f>VLOOKUP(ShoeSales[[#This Row],[Product]],Price!$A$2:C38,3,)</f>
        <v>47</v>
      </c>
      <c r="K31" s="5">
        <f>ShoeSales[[#This Row],[Quantity]]*ShoeSales[[#This Row],[Unit_price]]</f>
        <v>623</v>
      </c>
      <c r="L31" s="5">
        <f>ShoeSales[[#This Row],[Quantity]]*ShoeSales[[#This Row],[Unit_cost]]</f>
        <v>329</v>
      </c>
      <c r="M31" s="5">
        <f>ShoeSales[[#This Row],[Revenue]]-ShoeSales[[#This Row],[Total_cost]]</f>
        <v>294</v>
      </c>
      <c r="N31" s="11">
        <f>ShoeSales[[#This Row],[Profit]]/ShoeSales[[#This Row],[Revenue]]</f>
        <v>0.47191011235955055</v>
      </c>
    </row>
    <row r="32" spans="1:14" ht="14.25" customHeight="1" x14ac:dyDescent="0.25">
      <c r="A32" s="7">
        <v>46219</v>
      </c>
      <c r="B32" s="14" t="s">
        <v>12</v>
      </c>
      <c r="C32" s="15" t="s">
        <v>27</v>
      </c>
      <c r="D32" s="15" t="s">
        <v>28</v>
      </c>
      <c r="E32" s="14" t="str">
        <f ca="1">PROPER(TRIM(CLEAN(ShoeSales[[#This Row],[Brand]])))</f>
        <v>Steve Madden</v>
      </c>
      <c r="F32" s="15" t="s">
        <v>47</v>
      </c>
      <c r="G32" s="3">
        <v>12</v>
      </c>
      <c r="H32" s="15" t="s">
        <v>45</v>
      </c>
      <c r="I32" s="5">
        <f>VLOOKUP(ShoeSales[[#This Row],[Product]],Price!$A$2:C39,2,)</f>
        <v>112</v>
      </c>
      <c r="J32" s="5">
        <f>VLOOKUP(ShoeSales[[#This Row],[Product]],Price!$A$2:C39,3,)</f>
        <v>64</v>
      </c>
      <c r="K32" s="5">
        <f>ShoeSales[[#This Row],[Quantity]]*ShoeSales[[#This Row],[Unit_price]]</f>
        <v>1344</v>
      </c>
      <c r="L32" s="5">
        <f>ShoeSales[[#This Row],[Quantity]]*ShoeSales[[#This Row],[Unit_cost]]</f>
        <v>768</v>
      </c>
      <c r="M32" s="5">
        <f>ShoeSales[[#This Row],[Revenue]]-ShoeSales[[#This Row],[Total_cost]]</f>
        <v>576</v>
      </c>
      <c r="N32" s="11">
        <f>ShoeSales[[#This Row],[Profit]]/ShoeSales[[#This Row],[Revenue]]</f>
        <v>0.42857142857142855</v>
      </c>
    </row>
    <row r="33" spans="1:14" ht="14.25" customHeight="1" x14ac:dyDescent="0.25">
      <c r="A33" s="8">
        <v>46185</v>
      </c>
      <c r="B33" s="14" t="s">
        <v>9</v>
      </c>
      <c r="C33" s="16" t="s">
        <v>27</v>
      </c>
      <c r="D33" s="16" t="s">
        <v>38</v>
      </c>
      <c r="E33" s="14" t="str">
        <f ca="1">PROPER(TRIM(CLEAN(ShoeSales[[#This Row],[Brand]])))</f>
        <v>Clarks</v>
      </c>
      <c r="F33" s="16" t="s">
        <v>50</v>
      </c>
      <c r="G33" s="4">
        <v>15</v>
      </c>
      <c r="H33" s="16" t="s">
        <v>32</v>
      </c>
      <c r="I33" s="5">
        <f>VLOOKUP(ShoeSales[[#This Row],[Product]],Price!$A$2:C40,2,)</f>
        <v>128</v>
      </c>
      <c r="J33" s="5">
        <f>VLOOKUP(ShoeSales[[#This Row],[Product]],Price!$A$2:C40,3,)</f>
        <v>72</v>
      </c>
      <c r="K33" s="5">
        <f>ShoeSales[[#This Row],[Quantity]]*ShoeSales[[#This Row],[Unit_price]]</f>
        <v>1920</v>
      </c>
      <c r="L33" s="5">
        <f>ShoeSales[[#This Row],[Quantity]]*ShoeSales[[#This Row],[Unit_cost]]</f>
        <v>1080</v>
      </c>
      <c r="M33" s="5">
        <f>ShoeSales[[#This Row],[Revenue]]-ShoeSales[[#This Row],[Total_cost]]</f>
        <v>840</v>
      </c>
      <c r="N33" s="11">
        <f>ShoeSales[[#This Row],[Profit]]/ShoeSales[[#This Row],[Revenue]]</f>
        <v>0.4375</v>
      </c>
    </row>
    <row r="34" spans="1:14" ht="14.25" customHeight="1" x14ac:dyDescent="0.25">
      <c r="A34" s="7">
        <v>46236</v>
      </c>
      <c r="B34" s="14" t="s">
        <v>8</v>
      </c>
      <c r="C34" s="15" t="s">
        <v>27</v>
      </c>
      <c r="D34" s="15" t="s">
        <v>28</v>
      </c>
      <c r="E34" s="14" t="str">
        <f ca="1">PROPER(TRIM(CLEAN(ShoeSales[[#This Row],[Brand]])))</f>
        <v>Zara</v>
      </c>
      <c r="F34" s="15" t="s">
        <v>29</v>
      </c>
      <c r="G34" s="3">
        <v>7</v>
      </c>
      <c r="H34" s="15" t="s">
        <v>45</v>
      </c>
      <c r="I34" s="5">
        <f>VLOOKUP(ShoeSales[[#This Row],[Product]],Price!$A$2:C41,2,)</f>
        <v>76</v>
      </c>
      <c r="J34" s="5">
        <f>VLOOKUP(ShoeSales[[#This Row],[Product]],Price!$A$2:C41,3,)</f>
        <v>39</v>
      </c>
      <c r="K34" s="5">
        <f>ShoeSales[[#This Row],[Quantity]]*ShoeSales[[#This Row],[Unit_price]]</f>
        <v>532</v>
      </c>
      <c r="L34" s="5">
        <f>ShoeSales[[#This Row],[Quantity]]*ShoeSales[[#This Row],[Unit_cost]]</f>
        <v>273</v>
      </c>
      <c r="M34" s="5">
        <f>ShoeSales[[#This Row],[Revenue]]-ShoeSales[[#This Row],[Total_cost]]</f>
        <v>259</v>
      </c>
      <c r="N34" s="11">
        <f>ShoeSales[[#This Row],[Profit]]/ShoeSales[[#This Row],[Revenue]]</f>
        <v>0.48684210526315791</v>
      </c>
    </row>
    <row r="35" spans="1:14" ht="14.25" customHeight="1" x14ac:dyDescent="0.25">
      <c r="A35" s="8">
        <v>46111</v>
      </c>
      <c r="B35" s="14" t="s">
        <v>12</v>
      </c>
      <c r="C35" s="16" t="s">
        <v>27</v>
      </c>
      <c r="D35" s="16" t="s">
        <v>31</v>
      </c>
      <c r="E35" s="14" t="str">
        <f ca="1">PROPER(TRIM(CLEAN(ShoeSales[[#This Row],[Brand]])))</f>
        <v>Nike</v>
      </c>
      <c r="F35" s="16" t="s">
        <v>44</v>
      </c>
      <c r="G35" s="4">
        <v>10</v>
      </c>
      <c r="H35" s="16" t="s">
        <v>30</v>
      </c>
      <c r="I35" s="5">
        <f>VLOOKUP(ShoeSales[[#This Row],[Product]],Price!$A$2:C42,2,)</f>
        <v>112</v>
      </c>
      <c r="J35" s="5">
        <f>VLOOKUP(ShoeSales[[#This Row],[Product]],Price!$A$2:C42,3,)</f>
        <v>64</v>
      </c>
      <c r="K35" s="5">
        <f>ShoeSales[[#This Row],[Quantity]]*ShoeSales[[#This Row],[Unit_price]]</f>
        <v>1120</v>
      </c>
      <c r="L35" s="5">
        <f>ShoeSales[[#This Row],[Quantity]]*ShoeSales[[#This Row],[Unit_cost]]</f>
        <v>640</v>
      </c>
      <c r="M35" s="5">
        <f>ShoeSales[[#This Row],[Revenue]]-ShoeSales[[#This Row],[Total_cost]]</f>
        <v>480</v>
      </c>
      <c r="N35" s="11">
        <f>ShoeSales[[#This Row],[Profit]]/ShoeSales[[#This Row],[Revenue]]</f>
        <v>0.42857142857142855</v>
      </c>
    </row>
    <row r="36" spans="1:14" ht="14.25" customHeight="1" x14ac:dyDescent="0.25">
      <c r="A36" s="7">
        <v>46132</v>
      </c>
      <c r="B36" s="14" t="s">
        <v>5</v>
      </c>
      <c r="C36" s="15" t="s">
        <v>52</v>
      </c>
      <c r="D36" s="15" t="s">
        <v>33</v>
      </c>
      <c r="E36" s="14" t="str">
        <f ca="1">PROPER(TRIM(CLEAN(ShoeSales[[#This Row],[Brand]])))</f>
        <v>Nike</v>
      </c>
      <c r="F36" s="15" t="s">
        <v>49</v>
      </c>
      <c r="G36" s="3">
        <v>7</v>
      </c>
      <c r="H36" s="15" t="s">
        <v>30</v>
      </c>
      <c r="I36" s="5">
        <f>VLOOKUP(ShoeSales[[#This Row],[Product]],Price!$A$2:C43,2,)</f>
        <v>89</v>
      </c>
      <c r="J36" s="5">
        <f>VLOOKUP(ShoeSales[[#This Row],[Product]],Price!$A$2:C43,3,)</f>
        <v>47</v>
      </c>
      <c r="K36" s="5">
        <f>ShoeSales[[#This Row],[Quantity]]*ShoeSales[[#This Row],[Unit_price]]</f>
        <v>623</v>
      </c>
      <c r="L36" s="5">
        <f>ShoeSales[[#This Row],[Quantity]]*ShoeSales[[#This Row],[Unit_cost]]</f>
        <v>329</v>
      </c>
      <c r="M36" s="5">
        <f>ShoeSales[[#This Row],[Revenue]]-ShoeSales[[#This Row],[Total_cost]]</f>
        <v>294</v>
      </c>
      <c r="N36" s="11">
        <f>ShoeSales[[#This Row],[Profit]]/ShoeSales[[#This Row],[Revenue]]</f>
        <v>0.47191011235955055</v>
      </c>
    </row>
    <row r="37" spans="1:14" ht="14.25" customHeight="1" x14ac:dyDescent="0.25">
      <c r="A37" s="8">
        <v>46228</v>
      </c>
      <c r="B37" s="14" t="s">
        <v>8</v>
      </c>
      <c r="C37" s="16" t="s">
        <v>27</v>
      </c>
      <c r="D37" s="16" t="s">
        <v>28</v>
      </c>
      <c r="E37" s="14" t="str">
        <f ca="1">PROPER(TRIM(CLEAN(ShoeSales[[#This Row],[Brand]])))</f>
        <v>Timberland</v>
      </c>
      <c r="F37" s="16" t="s">
        <v>35</v>
      </c>
      <c r="G37" s="4">
        <v>5</v>
      </c>
      <c r="H37" s="16" t="s">
        <v>32</v>
      </c>
      <c r="I37" s="5">
        <f>VLOOKUP(ShoeSales[[#This Row],[Product]],Price!$A$2:C44,2,)</f>
        <v>76</v>
      </c>
      <c r="J37" s="5">
        <f>VLOOKUP(ShoeSales[[#This Row],[Product]],Price!$A$2:C44,3,)</f>
        <v>39</v>
      </c>
      <c r="K37" s="5">
        <f>ShoeSales[[#This Row],[Quantity]]*ShoeSales[[#This Row],[Unit_price]]</f>
        <v>380</v>
      </c>
      <c r="L37" s="5">
        <f>ShoeSales[[#This Row],[Quantity]]*ShoeSales[[#This Row],[Unit_cost]]</f>
        <v>195</v>
      </c>
      <c r="M37" s="5">
        <f>ShoeSales[[#This Row],[Revenue]]-ShoeSales[[#This Row],[Total_cost]]</f>
        <v>185</v>
      </c>
      <c r="N37" s="11">
        <f>ShoeSales[[#This Row],[Profit]]/ShoeSales[[#This Row],[Revenue]]</f>
        <v>0.48684210526315791</v>
      </c>
    </row>
    <row r="38" spans="1:14" ht="14.25" customHeight="1" x14ac:dyDescent="0.25">
      <c r="A38" s="7">
        <v>46176</v>
      </c>
      <c r="B38" s="14" t="s">
        <v>8</v>
      </c>
      <c r="C38" s="15" t="s">
        <v>27</v>
      </c>
      <c r="D38" s="15" t="s">
        <v>28</v>
      </c>
      <c r="E38" s="14" t="str">
        <f ca="1">PROPER(TRIM(CLEAN(ShoeSales[[#This Row],[Brand]])))</f>
        <v>Clarks</v>
      </c>
      <c r="F38" s="15" t="s">
        <v>46</v>
      </c>
      <c r="G38" s="3">
        <v>11</v>
      </c>
      <c r="H38" s="15" t="s">
        <v>30</v>
      </c>
      <c r="I38" s="5">
        <f>VLOOKUP(ShoeSales[[#This Row],[Product]],Price!$A$2:C45,2,)</f>
        <v>76</v>
      </c>
      <c r="J38" s="5">
        <f>VLOOKUP(ShoeSales[[#This Row],[Product]],Price!$A$2:C45,3,)</f>
        <v>39</v>
      </c>
      <c r="K38" s="5">
        <f>ShoeSales[[#This Row],[Quantity]]*ShoeSales[[#This Row],[Unit_price]]</f>
        <v>836</v>
      </c>
      <c r="L38" s="5">
        <f>ShoeSales[[#This Row],[Quantity]]*ShoeSales[[#This Row],[Unit_cost]]</f>
        <v>429</v>
      </c>
      <c r="M38" s="5">
        <f>ShoeSales[[#This Row],[Revenue]]-ShoeSales[[#This Row],[Total_cost]]</f>
        <v>407</v>
      </c>
      <c r="N38" s="11">
        <f>ShoeSales[[#This Row],[Profit]]/ShoeSales[[#This Row],[Revenue]]</f>
        <v>0.48684210526315791</v>
      </c>
    </row>
    <row r="39" spans="1:14" ht="14.25" customHeight="1" x14ac:dyDescent="0.25">
      <c r="A39" s="8">
        <v>46226</v>
      </c>
      <c r="B39" s="14" t="s">
        <v>15</v>
      </c>
      <c r="C39" s="16" t="s">
        <v>48</v>
      </c>
      <c r="D39" s="16" t="s">
        <v>28</v>
      </c>
      <c r="E39" s="14" t="str">
        <f ca="1">PROPER(TRIM(CLEAN(ShoeSales[[#This Row],[Brand]])))</f>
        <v>Zara</v>
      </c>
      <c r="F39" s="16" t="s">
        <v>50</v>
      </c>
      <c r="G39" s="4">
        <v>10</v>
      </c>
      <c r="H39" s="16" t="s">
        <v>30</v>
      </c>
      <c r="I39" s="5">
        <f>VLOOKUP(ShoeSales[[#This Row],[Product]],Price!$A$2:C46,2,)</f>
        <v>119</v>
      </c>
      <c r="J39" s="5">
        <f>VLOOKUP(ShoeSales[[#This Row],[Product]],Price!$A$2:C46,3,)</f>
        <v>67</v>
      </c>
      <c r="K39" s="5">
        <f>ShoeSales[[#This Row],[Quantity]]*ShoeSales[[#This Row],[Unit_price]]</f>
        <v>1190</v>
      </c>
      <c r="L39" s="5">
        <f>ShoeSales[[#This Row],[Quantity]]*ShoeSales[[#This Row],[Unit_cost]]</f>
        <v>670</v>
      </c>
      <c r="M39" s="5">
        <f>ShoeSales[[#This Row],[Revenue]]-ShoeSales[[#This Row],[Total_cost]]</f>
        <v>520</v>
      </c>
      <c r="N39" s="11">
        <f>ShoeSales[[#This Row],[Profit]]/ShoeSales[[#This Row],[Revenue]]</f>
        <v>0.43697478991596639</v>
      </c>
    </row>
    <row r="40" spans="1:14" ht="14.25" customHeight="1" x14ac:dyDescent="0.25">
      <c r="A40" s="7">
        <v>46228</v>
      </c>
      <c r="B40" s="14" t="s">
        <v>6</v>
      </c>
      <c r="C40" s="15" t="s">
        <v>52</v>
      </c>
      <c r="D40" s="15" t="s">
        <v>33</v>
      </c>
      <c r="E40" s="14" t="str">
        <f ca="1">PROPER(TRIM(CLEAN(ShoeSales[[#This Row],[Brand]])))</f>
        <v>Clarks</v>
      </c>
      <c r="F40" s="15" t="s">
        <v>40</v>
      </c>
      <c r="G40" s="3">
        <v>10</v>
      </c>
      <c r="H40" s="15" t="s">
        <v>45</v>
      </c>
      <c r="I40" s="5">
        <f>VLOOKUP(ShoeSales[[#This Row],[Product]],Price!$A$2:C47,2,)</f>
        <v>54</v>
      </c>
      <c r="J40" s="5">
        <f>VLOOKUP(ShoeSales[[#This Row],[Product]],Price!$A$2:C47,3,)</f>
        <v>28</v>
      </c>
      <c r="K40" s="5">
        <f>ShoeSales[[#This Row],[Quantity]]*ShoeSales[[#This Row],[Unit_price]]</f>
        <v>540</v>
      </c>
      <c r="L40" s="5">
        <f>ShoeSales[[#This Row],[Quantity]]*ShoeSales[[#This Row],[Unit_cost]]</f>
        <v>280</v>
      </c>
      <c r="M40" s="5">
        <f>ShoeSales[[#This Row],[Revenue]]-ShoeSales[[#This Row],[Total_cost]]</f>
        <v>260</v>
      </c>
      <c r="N40" s="11">
        <f>ShoeSales[[#This Row],[Profit]]/ShoeSales[[#This Row],[Revenue]]</f>
        <v>0.48148148148148145</v>
      </c>
    </row>
    <row r="41" spans="1:14" ht="14.25" customHeight="1" x14ac:dyDescent="0.25">
      <c r="A41" s="8">
        <v>46176</v>
      </c>
      <c r="B41" s="14" t="s">
        <v>10</v>
      </c>
      <c r="C41" s="16" t="s">
        <v>27</v>
      </c>
      <c r="D41" s="16" t="s">
        <v>28</v>
      </c>
      <c r="E41" s="14" t="str">
        <f ca="1">PROPER(TRIM(CLEAN(ShoeSales[[#This Row],[Brand]])))</f>
        <v>Steve Madden</v>
      </c>
      <c r="F41" s="16" t="s">
        <v>47</v>
      </c>
      <c r="G41" s="4">
        <v>13</v>
      </c>
      <c r="H41" s="16" t="s">
        <v>30</v>
      </c>
      <c r="I41" s="5">
        <f>VLOOKUP(ShoeSales[[#This Row],[Product]],Price!$A$2:C48,2,)</f>
        <v>105</v>
      </c>
      <c r="J41" s="5">
        <f>VLOOKUP(ShoeSales[[#This Row],[Product]],Price!$A$2:C48,3,)</f>
        <v>58</v>
      </c>
      <c r="K41" s="5">
        <f>ShoeSales[[#This Row],[Quantity]]*ShoeSales[[#This Row],[Unit_price]]</f>
        <v>1365</v>
      </c>
      <c r="L41" s="5">
        <f>ShoeSales[[#This Row],[Quantity]]*ShoeSales[[#This Row],[Unit_cost]]</f>
        <v>754</v>
      </c>
      <c r="M41" s="5">
        <f>ShoeSales[[#This Row],[Revenue]]-ShoeSales[[#This Row],[Total_cost]]</f>
        <v>611</v>
      </c>
      <c r="N41" s="11">
        <f>ShoeSales[[#This Row],[Profit]]/ShoeSales[[#This Row],[Revenue]]</f>
        <v>0.44761904761904764</v>
      </c>
    </row>
    <row r="42" spans="1:14" ht="14.25" customHeight="1" x14ac:dyDescent="0.25">
      <c r="A42" s="7">
        <v>46090</v>
      </c>
      <c r="B42" s="14" t="s">
        <v>12</v>
      </c>
      <c r="C42" s="15" t="s">
        <v>27</v>
      </c>
      <c r="D42" s="15" t="s">
        <v>38</v>
      </c>
      <c r="E42" s="14" t="str">
        <f ca="1">PROPER(TRIM(CLEAN(ShoeSales[[#This Row],[Brand]])))</f>
        <v>Clarks</v>
      </c>
      <c r="F42" s="15" t="s">
        <v>40</v>
      </c>
      <c r="G42" s="3">
        <v>7</v>
      </c>
      <c r="H42" s="15" t="s">
        <v>41</v>
      </c>
      <c r="I42" s="5">
        <f>VLOOKUP(ShoeSales[[#This Row],[Product]],Price!$A$2:C49,2,)</f>
        <v>112</v>
      </c>
      <c r="J42" s="5">
        <f>VLOOKUP(ShoeSales[[#This Row],[Product]],Price!$A$2:C49,3,)</f>
        <v>64</v>
      </c>
      <c r="K42" s="5">
        <f>ShoeSales[[#This Row],[Quantity]]*ShoeSales[[#This Row],[Unit_price]]</f>
        <v>784</v>
      </c>
      <c r="L42" s="5">
        <f>ShoeSales[[#This Row],[Quantity]]*ShoeSales[[#This Row],[Unit_cost]]</f>
        <v>448</v>
      </c>
      <c r="M42" s="5">
        <f>ShoeSales[[#This Row],[Revenue]]-ShoeSales[[#This Row],[Total_cost]]</f>
        <v>336</v>
      </c>
      <c r="N42" s="11">
        <f>ShoeSales[[#This Row],[Profit]]/ShoeSales[[#This Row],[Revenue]]</f>
        <v>0.42857142857142855</v>
      </c>
    </row>
    <row r="43" spans="1:14" ht="14.25" customHeight="1" x14ac:dyDescent="0.25">
      <c r="A43" s="8">
        <v>46072</v>
      </c>
      <c r="B43" s="14" t="s">
        <v>8</v>
      </c>
      <c r="C43" s="16" t="s">
        <v>52</v>
      </c>
      <c r="D43" s="16" t="s">
        <v>33</v>
      </c>
      <c r="E43" s="14" t="str">
        <f ca="1">PROPER(TRIM(CLEAN(ShoeSales[[#This Row],[Brand]])))</f>
        <v>Nike</v>
      </c>
      <c r="F43" s="16" t="s">
        <v>34</v>
      </c>
      <c r="G43" s="4">
        <v>14</v>
      </c>
      <c r="H43" s="16" t="s">
        <v>41</v>
      </c>
      <c r="I43" s="5">
        <f>VLOOKUP(ShoeSales[[#This Row],[Product]],Price!$A$2:C50,2,)</f>
        <v>76</v>
      </c>
      <c r="J43" s="5">
        <f>VLOOKUP(ShoeSales[[#This Row],[Product]],Price!$A$2:C50,3,)</f>
        <v>39</v>
      </c>
      <c r="K43" s="5">
        <f>ShoeSales[[#This Row],[Quantity]]*ShoeSales[[#This Row],[Unit_price]]</f>
        <v>1064</v>
      </c>
      <c r="L43" s="5">
        <f>ShoeSales[[#This Row],[Quantity]]*ShoeSales[[#This Row],[Unit_cost]]</f>
        <v>546</v>
      </c>
      <c r="M43" s="5">
        <f>ShoeSales[[#This Row],[Revenue]]-ShoeSales[[#This Row],[Total_cost]]</f>
        <v>518</v>
      </c>
      <c r="N43" s="11">
        <f>ShoeSales[[#This Row],[Profit]]/ShoeSales[[#This Row],[Revenue]]</f>
        <v>0.48684210526315791</v>
      </c>
    </row>
    <row r="44" spans="1:14" ht="14.25" customHeight="1" x14ac:dyDescent="0.25">
      <c r="A44" s="7">
        <v>46220</v>
      </c>
      <c r="B44" s="14" t="s">
        <v>10</v>
      </c>
      <c r="C44" s="15" t="s">
        <v>52</v>
      </c>
      <c r="D44" s="15" t="s">
        <v>33</v>
      </c>
      <c r="E44" s="14" t="str">
        <f ca="1">PROPER(TRIM(CLEAN(ShoeSales[[#This Row],[Brand]])))</f>
        <v>Clarks</v>
      </c>
      <c r="F44" s="15" t="s">
        <v>39</v>
      </c>
      <c r="G44" s="3">
        <v>13</v>
      </c>
      <c r="H44" s="15" t="s">
        <v>45</v>
      </c>
      <c r="I44" s="5">
        <f>VLOOKUP(ShoeSales[[#This Row],[Product]],Price!$A$2:C51,2,)</f>
        <v>105</v>
      </c>
      <c r="J44" s="5">
        <f>VLOOKUP(ShoeSales[[#This Row],[Product]],Price!$A$2:C51,3,)</f>
        <v>58</v>
      </c>
      <c r="K44" s="5">
        <f>ShoeSales[[#This Row],[Quantity]]*ShoeSales[[#This Row],[Unit_price]]</f>
        <v>1365</v>
      </c>
      <c r="L44" s="5">
        <f>ShoeSales[[#This Row],[Quantity]]*ShoeSales[[#This Row],[Unit_cost]]</f>
        <v>754</v>
      </c>
      <c r="M44" s="5">
        <f>ShoeSales[[#This Row],[Revenue]]-ShoeSales[[#This Row],[Total_cost]]</f>
        <v>611</v>
      </c>
      <c r="N44" s="11">
        <f>ShoeSales[[#This Row],[Profit]]/ShoeSales[[#This Row],[Revenue]]</f>
        <v>0.44761904761904764</v>
      </c>
    </row>
    <row r="45" spans="1:14" ht="14.25" customHeight="1" x14ac:dyDescent="0.25">
      <c r="A45" s="8">
        <v>46127</v>
      </c>
      <c r="B45" s="14" t="s">
        <v>6</v>
      </c>
      <c r="C45" s="16" t="s">
        <v>52</v>
      </c>
      <c r="D45" s="16" t="s">
        <v>28</v>
      </c>
      <c r="E45" s="14" t="str">
        <f ca="1">PROPER(TRIM(CLEAN(ShoeSales[[#This Row],[Brand]])))</f>
        <v>Nike</v>
      </c>
      <c r="F45" s="16" t="s">
        <v>49</v>
      </c>
      <c r="G45" s="4">
        <v>3</v>
      </c>
      <c r="H45" s="16" t="s">
        <v>32</v>
      </c>
      <c r="I45" s="5">
        <f>VLOOKUP(ShoeSales[[#This Row],[Product]],Price!$A$2:C52,2,)</f>
        <v>54</v>
      </c>
      <c r="J45" s="5">
        <f>VLOOKUP(ShoeSales[[#This Row],[Product]],Price!$A$2:C52,3,)</f>
        <v>28</v>
      </c>
      <c r="K45" s="5">
        <f>ShoeSales[[#This Row],[Quantity]]*ShoeSales[[#This Row],[Unit_price]]</f>
        <v>162</v>
      </c>
      <c r="L45" s="5">
        <f>ShoeSales[[#This Row],[Quantity]]*ShoeSales[[#This Row],[Unit_cost]]</f>
        <v>84</v>
      </c>
      <c r="M45" s="5">
        <f>ShoeSales[[#This Row],[Revenue]]-ShoeSales[[#This Row],[Total_cost]]</f>
        <v>78</v>
      </c>
      <c r="N45" s="11">
        <f>ShoeSales[[#This Row],[Profit]]/ShoeSales[[#This Row],[Revenue]]</f>
        <v>0.48148148148148145</v>
      </c>
    </row>
    <row r="46" spans="1:14" ht="14.25" customHeight="1" x14ac:dyDescent="0.25">
      <c r="A46" s="7">
        <v>46131</v>
      </c>
      <c r="B46" s="14" t="s">
        <v>8</v>
      </c>
      <c r="C46" s="15" t="s">
        <v>27</v>
      </c>
      <c r="D46" s="15" t="s">
        <v>33</v>
      </c>
      <c r="E46" s="14" t="str">
        <f ca="1">PROPER(TRIM(CLEAN(ShoeSales[[#This Row],[Brand]])))</f>
        <v>Steve Madden</v>
      </c>
      <c r="F46" s="15" t="s">
        <v>36</v>
      </c>
      <c r="G46" s="3">
        <v>1</v>
      </c>
      <c r="H46" s="15" t="s">
        <v>30</v>
      </c>
      <c r="I46" s="5">
        <f>VLOOKUP(ShoeSales[[#This Row],[Product]],Price!$A$2:C53,2,)</f>
        <v>76</v>
      </c>
      <c r="J46" s="5">
        <f>VLOOKUP(ShoeSales[[#This Row],[Product]],Price!$A$2:C53,3,)</f>
        <v>39</v>
      </c>
      <c r="K46" s="5">
        <f>ShoeSales[[#This Row],[Quantity]]*ShoeSales[[#This Row],[Unit_price]]</f>
        <v>76</v>
      </c>
      <c r="L46" s="5">
        <f>ShoeSales[[#This Row],[Quantity]]*ShoeSales[[#This Row],[Unit_cost]]</f>
        <v>39</v>
      </c>
      <c r="M46" s="5">
        <f>ShoeSales[[#This Row],[Revenue]]-ShoeSales[[#This Row],[Total_cost]]</f>
        <v>37</v>
      </c>
      <c r="N46" s="11">
        <f>ShoeSales[[#This Row],[Profit]]/ShoeSales[[#This Row],[Revenue]]</f>
        <v>0.48684210526315791</v>
      </c>
    </row>
    <row r="47" spans="1:14" ht="14.25" customHeight="1" x14ac:dyDescent="0.25">
      <c r="A47" s="8">
        <v>46165</v>
      </c>
      <c r="B47" s="14" t="s">
        <v>12</v>
      </c>
      <c r="C47" s="16" t="s">
        <v>27</v>
      </c>
      <c r="D47" s="16" t="s">
        <v>28</v>
      </c>
      <c r="E47" s="14" t="str">
        <f ca="1">PROPER(TRIM(CLEAN(ShoeSales[[#This Row],[Brand]])))</f>
        <v>Clarks</v>
      </c>
      <c r="F47" s="16" t="s">
        <v>47</v>
      </c>
      <c r="G47" s="4">
        <v>9</v>
      </c>
      <c r="H47" s="16" t="s">
        <v>45</v>
      </c>
      <c r="I47" s="5">
        <f>VLOOKUP(ShoeSales[[#This Row],[Product]],Price!$A$2:C54,2,)</f>
        <v>112</v>
      </c>
      <c r="J47" s="5">
        <f>VLOOKUP(ShoeSales[[#This Row],[Product]],Price!$A$2:C54,3,)</f>
        <v>64</v>
      </c>
      <c r="K47" s="5">
        <f>ShoeSales[[#This Row],[Quantity]]*ShoeSales[[#This Row],[Unit_price]]</f>
        <v>1008</v>
      </c>
      <c r="L47" s="5">
        <f>ShoeSales[[#This Row],[Quantity]]*ShoeSales[[#This Row],[Unit_cost]]</f>
        <v>576</v>
      </c>
      <c r="M47" s="5">
        <f>ShoeSales[[#This Row],[Revenue]]-ShoeSales[[#This Row],[Total_cost]]</f>
        <v>432</v>
      </c>
      <c r="N47" s="11">
        <f>ShoeSales[[#This Row],[Profit]]/ShoeSales[[#This Row],[Revenue]]</f>
        <v>0.42857142857142855</v>
      </c>
    </row>
    <row r="48" spans="1:14" ht="14.25" customHeight="1" x14ac:dyDescent="0.25">
      <c r="A48" s="7">
        <v>46237</v>
      </c>
      <c r="B48" s="14" t="s">
        <v>8</v>
      </c>
      <c r="C48" s="15" t="s">
        <v>27</v>
      </c>
      <c r="D48" s="15" t="s">
        <v>33</v>
      </c>
      <c r="E48" s="14" t="str">
        <f ca="1">PROPER(TRIM(CLEAN(ShoeSales[[#This Row],[Brand]])))</f>
        <v>Zara</v>
      </c>
      <c r="F48" s="15" t="s">
        <v>51</v>
      </c>
      <c r="G48" s="3">
        <v>5</v>
      </c>
      <c r="H48" s="15" t="s">
        <v>45</v>
      </c>
      <c r="I48" s="5">
        <f>VLOOKUP(ShoeSales[[#This Row],[Product]],Price!$A$2:C55,2,)</f>
        <v>76</v>
      </c>
      <c r="J48" s="5">
        <f>VLOOKUP(ShoeSales[[#This Row],[Product]],Price!$A$2:C55,3,)</f>
        <v>39</v>
      </c>
      <c r="K48" s="5">
        <f>ShoeSales[[#This Row],[Quantity]]*ShoeSales[[#This Row],[Unit_price]]</f>
        <v>380</v>
      </c>
      <c r="L48" s="5">
        <f>ShoeSales[[#This Row],[Quantity]]*ShoeSales[[#This Row],[Unit_cost]]</f>
        <v>195</v>
      </c>
      <c r="M48" s="5">
        <f>ShoeSales[[#This Row],[Revenue]]-ShoeSales[[#This Row],[Total_cost]]</f>
        <v>185</v>
      </c>
      <c r="N48" s="11">
        <f>ShoeSales[[#This Row],[Profit]]/ShoeSales[[#This Row],[Revenue]]</f>
        <v>0.48684210526315791</v>
      </c>
    </row>
    <row r="49" spans="1:14" ht="14.25" customHeight="1" x14ac:dyDescent="0.25">
      <c r="A49" s="8">
        <v>46086</v>
      </c>
      <c r="B49" s="14" t="s">
        <v>10</v>
      </c>
      <c r="C49" s="16" t="s">
        <v>48</v>
      </c>
      <c r="D49" s="16" t="s">
        <v>31</v>
      </c>
      <c r="E49" s="14" t="str">
        <f ca="1">PROPER(TRIM(CLEAN(ShoeSales[[#This Row],[Brand]])))</f>
        <v>Nike</v>
      </c>
      <c r="F49" s="16" t="s">
        <v>40</v>
      </c>
      <c r="G49" s="4">
        <v>11</v>
      </c>
      <c r="H49" s="16" t="s">
        <v>45</v>
      </c>
      <c r="I49" s="5">
        <f>VLOOKUP(ShoeSales[[#This Row],[Product]],Price!$A$2:C56,2,)</f>
        <v>105</v>
      </c>
      <c r="J49" s="5">
        <f>VLOOKUP(ShoeSales[[#This Row],[Product]],Price!$A$2:C56,3,)</f>
        <v>58</v>
      </c>
      <c r="K49" s="5">
        <f>ShoeSales[[#This Row],[Quantity]]*ShoeSales[[#This Row],[Unit_price]]</f>
        <v>1155</v>
      </c>
      <c r="L49" s="5">
        <f>ShoeSales[[#This Row],[Quantity]]*ShoeSales[[#This Row],[Unit_cost]]</f>
        <v>638</v>
      </c>
      <c r="M49" s="5">
        <f>ShoeSales[[#This Row],[Revenue]]-ShoeSales[[#This Row],[Total_cost]]</f>
        <v>517</v>
      </c>
      <c r="N49" s="11">
        <f>ShoeSales[[#This Row],[Profit]]/ShoeSales[[#This Row],[Revenue]]</f>
        <v>0.44761904761904764</v>
      </c>
    </row>
    <row r="50" spans="1:14" ht="14.25" customHeight="1" x14ac:dyDescent="0.25">
      <c r="A50" s="7">
        <v>46110</v>
      </c>
      <c r="B50" s="14" t="s">
        <v>6</v>
      </c>
      <c r="C50" s="15" t="s">
        <v>27</v>
      </c>
      <c r="D50" s="15" t="s">
        <v>31</v>
      </c>
      <c r="E50" s="14" t="str">
        <f ca="1">PROPER(TRIM(CLEAN(ShoeSales[[#This Row],[Brand]])))</f>
        <v>Zara</v>
      </c>
      <c r="F50" s="15" t="s">
        <v>40</v>
      </c>
      <c r="G50" s="3">
        <v>6</v>
      </c>
      <c r="H50" s="15" t="s">
        <v>32</v>
      </c>
      <c r="I50" s="5">
        <f>VLOOKUP(ShoeSales[[#This Row],[Product]],Price!$A$2:C57,2,)</f>
        <v>54</v>
      </c>
      <c r="J50" s="5">
        <f>VLOOKUP(ShoeSales[[#This Row],[Product]],Price!$A$2:C57,3,)</f>
        <v>28</v>
      </c>
      <c r="K50" s="5">
        <f>ShoeSales[[#This Row],[Quantity]]*ShoeSales[[#This Row],[Unit_price]]</f>
        <v>324</v>
      </c>
      <c r="L50" s="5">
        <f>ShoeSales[[#This Row],[Quantity]]*ShoeSales[[#This Row],[Unit_cost]]</f>
        <v>168</v>
      </c>
      <c r="M50" s="5">
        <f>ShoeSales[[#This Row],[Revenue]]-ShoeSales[[#This Row],[Total_cost]]</f>
        <v>156</v>
      </c>
      <c r="N50" s="11">
        <f>ShoeSales[[#This Row],[Profit]]/ShoeSales[[#This Row],[Revenue]]</f>
        <v>0.48148148148148145</v>
      </c>
    </row>
    <row r="51" spans="1:14" ht="14.25" customHeight="1" x14ac:dyDescent="0.25">
      <c r="A51" s="8">
        <v>46200</v>
      </c>
      <c r="B51" s="14" t="s">
        <v>8</v>
      </c>
      <c r="C51" s="16" t="s">
        <v>37</v>
      </c>
      <c r="D51" s="16" t="s">
        <v>38</v>
      </c>
      <c r="E51" s="14" t="str">
        <f ca="1">PROPER(TRIM(CLEAN(ShoeSales[[#This Row],[Brand]])))</f>
        <v>Zara</v>
      </c>
      <c r="F51" s="16" t="s">
        <v>53</v>
      </c>
      <c r="G51" s="4">
        <v>1</v>
      </c>
      <c r="H51" s="16" t="s">
        <v>45</v>
      </c>
      <c r="I51" s="5">
        <f>VLOOKUP(ShoeSales[[#This Row],[Product]],Price!$A$2:C58,2,)</f>
        <v>76</v>
      </c>
      <c r="J51" s="5">
        <f>VLOOKUP(ShoeSales[[#This Row],[Product]],Price!$A$2:C58,3,)</f>
        <v>39</v>
      </c>
      <c r="K51" s="5">
        <f>ShoeSales[[#This Row],[Quantity]]*ShoeSales[[#This Row],[Unit_price]]</f>
        <v>76</v>
      </c>
      <c r="L51" s="5">
        <f>ShoeSales[[#This Row],[Quantity]]*ShoeSales[[#This Row],[Unit_cost]]</f>
        <v>39</v>
      </c>
      <c r="M51" s="5">
        <f>ShoeSales[[#This Row],[Revenue]]-ShoeSales[[#This Row],[Total_cost]]</f>
        <v>37</v>
      </c>
      <c r="N51" s="11">
        <f>ShoeSales[[#This Row],[Profit]]/ShoeSales[[#This Row],[Revenue]]</f>
        <v>0.48684210526315791</v>
      </c>
    </row>
    <row r="52" spans="1:14" ht="14.25" customHeight="1" x14ac:dyDescent="0.25">
      <c r="A52" s="7">
        <v>46240</v>
      </c>
      <c r="B52" s="14" t="s">
        <v>9</v>
      </c>
      <c r="C52" s="15" t="s">
        <v>48</v>
      </c>
      <c r="D52" s="15" t="s">
        <v>28</v>
      </c>
      <c r="E52" s="14" t="str">
        <f ca="1">PROPER(TRIM(CLEAN(ShoeSales[[#This Row],[Brand]])))</f>
        <v>Clarks</v>
      </c>
      <c r="F52" s="15" t="s">
        <v>51</v>
      </c>
      <c r="G52" s="3">
        <v>4</v>
      </c>
      <c r="H52" s="15" t="s">
        <v>30</v>
      </c>
      <c r="I52" s="5">
        <f>VLOOKUP(ShoeSales[[#This Row],[Product]],Price!$A$2:C59,2,)</f>
        <v>128</v>
      </c>
      <c r="J52" s="5">
        <f>VLOOKUP(ShoeSales[[#This Row],[Product]],Price!$A$2:C59,3,)</f>
        <v>72</v>
      </c>
      <c r="K52" s="5">
        <f>ShoeSales[[#This Row],[Quantity]]*ShoeSales[[#This Row],[Unit_price]]</f>
        <v>512</v>
      </c>
      <c r="L52" s="5">
        <f>ShoeSales[[#This Row],[Quantity]]*ShoeSales[[#This Row],[Unit_cost]]</f>
        <v>288</v>
      </c>
      <c r="M52" s="5">
        <f>ShoeSales[[#This Row],[Revenue]]-ShoeSales[[#This Row],[Total_cost]]</f>
        <v>224</v>
      </c>
      <c r="N52" s="11">
        <f>ShoeSales[[#This Row],[Profit]]/ShoeSales[[#This Row],[Revenue]]</f>
        <v>0.4375</v>
      </c>
    </row>
    <row r="53" spans="1:14" ht="14.25" customHeight="1" x14ac:dyDescent="0.25">
      <c r="A53" s="8">
        <v>46051</v>
      </c>
      <c r="B53" s="14" t="s">
        <v>10</v>
      </c>
      <c r="C53" s="16" t="s">
        <v>37</v>
      </c>
      <c r="D53" s="16" t="s">
        <v>31</v>
      </c>
      <c r="E53" s="14" t="str">
        <f ca="1">PROPER(TRIM(CLEAN(ShoeSales[[#This Row],[Brand]])))</f>
        <v>Clarks</v>
      </c>
      <c r="F53" s="16" t="s">
        <v>46</v>
      </c>
      <c r="G53" s="4">
        <v>5</v>
      </c>
      <c r="H53" s="16" t="s">
        <v>41</v>
      </c>
      <c r="I53" s="5">
        <f>VLOOKUP(ShoeSales[[#This Row],[Product]],Price!$A$2:C60,2,)</f>
        <v>105</v>
      </c>
      <c r="J53" s="5">
        <f>VLOOKUP(ShoeSales[[#This Row],[Product]],Price!$A$2:C60,3,)</f>
        <v>58</v>
      </c>
      <c r="K53" s="5">
        <f>ShoeSales[[#This Row],[Quantity]]*ShoeSales[[#This Row],[Unit_price]]</f>
        <v>525</v>
      </c>
      <c r="L53" s="5">
        <f>ShoeSales[[#This Row],[Quantity]]*ShoeSales[[#This Row],[Unit_cost]]</f>
        <v>290</v>
      </c>
      <c r="M53" s="5">
        <f>ShoeSales[[#This Row],[Revenue]]-ShoeSales[[#This Row],[Total_cost]]</f>
        <v>235</v>
      </c>
      <c r="N53" s="11">
        <f>ShoeSales[[#This Row],[Profit]]/ShoeSales[[#This Row],[Revenue]]</f>
        <v>0.44761904761904764</v>
      </c>
    </row>
    <row r="54" spans="1:14" ht="14.25" customHeight="1" x14ac:dyDescent="0.25">
      <c r="A54" s="7">
        <v>46086</v>
      </c>
      <c r="B54" s="14" t="s">
        <v>5</v>
      </c>
      <c r="C54" s="15" t="s">
        <v>27</v>
      </c>
      <c r="D54" s="15" t="s">
        <v>31</v>
      </c>
      <c r="E54" s="14" t="str">
        <f ca="1">PROPER(TRIM(CLEAN(ShoeSales[[#This Row],[Brand]])))</f>
        <v>Zara</v>
      </c>
      <c r="F54" s="15" t="s">
        <v>29</v>
      </c>
      <c r="G54" s="3">
        <v>4</v>
      </c>
      <c r="H54" s="15" t="s">
        <v>32</v>
      </c>
      <c r="I54" s="5">
        <f>VLOOKUP(ShoeSales[[#This Row],[Product]],Price!$A$2:C61,2,)</f>
        <v>89</v>
      </c>
      <c r="J54" s="5">
        <f>VLOOKUP(ShoeSales[[#This Row],[Product]],Price!$A$2:C61,3,)</f>
        <v>47</v>
      </c>
      <c r="K54" s="5">
        <f>ShoeSales[[#This Row],[Quantity]]*ShoeSales[[#This Row],[Unit_price]]</f>
        <v>356</v>
      </c>
      <c r="L54" s="5">
        <f>ShoeSales[[#This Row],[Quantity]]*ShoeSales[[#This Row],[Unit_cost]]</f>
        <v>188</v>
      </c>
      <c r="M54" s="5">
        <f>ShoeSales[[#This Row],[Revenue]]-ShoeSales[[#This Row],[Total_cost]]</f>
        <v>168</v>
      </c>
      <c r="N54" s="11">
        <f>ShoeSales[[#This Row],[Profit]]/ShoeSales[[#This Row],[Revenue]]</f>
        <v>0.47191011235955055</v>
      </c>
    </row>
    <row r="55" spans="1:14" ht="14.25" customHeight="1" x14ac:dyDescent="0.25">
      <c r="A55" s="8">
        <v>46069</v>
      </c>
      <c r="B55" s="14" t="s">
        <v>12</v>
      </c>
      <c r="C55" s="16" t="s">
        <v>27</v>
      </c>
      <c r="D55" s="16" t="s">
        <v>31</v>
      </c>
      <c r="E55" s="14" t="str">
        <f ca="1">PROPER(TRIM(CLEAN(ShoeSales[[#This Row],[Brand]])))</f>
        <v>Zara</v>
      </c>
      <c r="F55" s="16" t="s">
        <v>34</v>
      </c>
      <c r="G55" s="4">
        <v>1</v>
      </c>
      <c r="H55" s="16" t="s">
        <v>45</v>
      </c>
      <c r="I55" s="5">
        <f>VLOOKUP(ShoeSales[[#This Row],[Product]],Price!$A$2:C62,2,)</f>
        <v>112</v>
      </c>
      <c r="J55" s="5">
        <f>VLOOKUP(ShoeSales[[#This Row],[Product]],Price!$A$2:C62,3,)</f>
        <v>64</v>
      </c>
      <c r="K55" s="5">
        <f>ShoeSales[[#This Row],[Quantity]]*ShoeSales[[#This Row],[Unit_price]]</f>
        <v>112</v>
      </c>
      <c r="L55" s="5">
        <f>ShoeSales[[#This Row],[Quantity]]*ShoeSales[[#This Row],[Unit_cost]]</f>
        <v>64</v>
      </c>
      <c r="M55" s="5">
        <f>ShoeSales[[#This Row],[Revenue]]-ShoeSales[[#This Row],[Total_cost]]</f>
        <v>48</v>
      </c>
      <c r="N55" s="11">
        <f>ShoeSales[[#This Row],[Profit]]/ShoeSales[[#This Row],[Revenue]]</f>
        <v>0.42857142857142855</v>
      </c>
    </row>
    <row r="56" spans="1:14" ht="14.25" customHeight="1" x14ac:dyDescent="0.25">
      <c r="A56" s="7">
        <v>46109</v>
      </c>
      <c r="B56" s="14" t="s">
        <v>9</v>
      </c>
      <c r="C56" s="15" t="s">
        <v>27</v>
      </c>
      <c r="D56" s="15" t="s">
        <v>28</v>
      </c>
      <c r="E56" s="14" t="str">
        <f ca="1">PROPER(TRIM(CLEAN(ShoeSales[[#This Row],[Brand]])))</f>
        <v>Nike</v>
      </c>
      <c r="F56" s="15" t="s">
        <v>50</v>
      </c>
      <c r="G56" s="3">
        <v>4</v>
      </c>
      <c r="H56" s="15" t="s">
        <v>30</v>
      </c>
      <c r="I56" s="5">
        <f>VLOOKUP(ShoeSales[[#This Row],[Product]],Price!$A$2:C63,2,)</f>
        <v>128</v>
      </c>
      <c r="J56" s="5">
        <f>VLOOKUP(ShoeSales[[#This Row],[Product]],Price!$A$2:C63,3,)</f>
        <v>72</v>
      </c>
      <c r="K56" s="5">
        <f>ShoeSales[[#This Row],[Quantity]]*ShoeSales[[#This Row],[Unit_price]]</f>
        <v>512</v>
      </c>
      <c r="L56" s="5">
        <f>ShoeSales[[#This Row],[Quantity]]*ShoeSales[[#This Row],[Unit_cost]]</f>
        <v>288</v>
      </c>
      <c r="M56" s="5">
        <f>ShoeSales[[#This Row],[Revenue]]-ShoeSales[[#This Row],[Total_cost]]</f>
        <v>224</v>
      </c>
      <c r="N56" s="11">
        <f>ShoeSales[[#This Row],[Profit]]/ShoeSales[[#This Row],[Revenue]]</f>
        <v>0.4375</v>
      </c>
    </row>
    <row r="57" spans="1:14" ht="14.25" customHeight="1" x14ac:dyDescent="0.25">
      <c r="A57" s="8">
        <v>46114</v>
      </c>
      <c r="B57" s="14" t="s">
        <v>5</v>
      </c>
      <c r="C57" s="16" t="s">
        <v>48</v>
      </c>
      <c r="D57" s="16" t="s">
        <v>31</v>
      </c>
      <c r="E57" s="14" t="str">
        <f ca="1">PROPER(TRIM(CLEAN(ShoeSales[[#This Row],[Brand]])))</f>
        <v>Clarks</v>
      </c>
      <c r="F57" s="16" t="s">
        <v>35</v>
      </c>
      <c r="G57" s="4">
        <v>5</v>
      </c>
      <c r="H57" s="16" t="s">
        <v>32</v>
      </c>
      <c r="I57" s="5">
        <f>VLOOKUP(ShoeSales[[#This Row],[Product]],Price!$A$2:C64,2,)</f>
        <v>89</v>
      </c>
      <c r="J57" s="5">
        <f>VLOOKUP(ShoeSales[[#This Row],[Product]],Price!$A$2:C64,3,)</f>
        <v>47</v>
      </c>
      <c r="K57" s="5">
        <f>ShoeSales[[#This Row],[Quantity]]*ShoeSales[[#This Row],[Unit_price]]</f>
        <v>445</v>
      </c>
      <c r="L57" s="5">
        <f>ShoeSales[[#This Row],[Quantity]]*ShoeSales[[#This Row],[Unit_cost]]</f>
        <v>235</v>
      </c>
      <c r="M57" s="5">
        <f>ShoeSales[[#This Row],[Revenue]]-ShoeSales[[#This Row],[Total_cost]]</f>
        <v>210</v>
      </c>
      <c r="N57" s="11">
        <f>ShoeSales[[#This Row],[Profit]]/ShoeSales[[#This Row],[Revenue]]</f>
        <v>0.47191011235955055</v>
      </c>
    </row>
    <row r="58" spans="1:14" ht="14.25" customHeight="1" x14ac:dyDescent="0.25">
      <c r="A58" s="7">
        <v>46175</v>
      </c>
      <c r="B58" s="14" t="s">
        <v>9</v>
      </c>
      <c r="C58" s="15" t="s">
        <v>52</v>
      </c>
      <c r="D58" s="15" t="s">
        <v>31</v>
      </c>
      <c r="E58" s="14" t="str">
        <f ca="1">PROPER(TRIM(CLEAN(ShoeSales[[#This Row],[Brand]])))</f>
        <v>Steve Madden</v>
      </c>
      <c r="F58" s="15" t="s">
        <v>44</v>
      </c>
      <c r="G58" s="3">
        <v>2</v>
      </c>
      <c r="H58" s="15" t="s">
        <v>41</v>
      </c>
      <c r="I58" s="5">
        <f>VLOOKUP(ShoeSales[[#This Row],[Product]],Price!$A$2:C65,2,)</f>
        <v>128</v>
      </c>
      <c r="J58" s="5">
        <f>VLOOKUP(ShoeSales[[#This Row],[Product]],Price!$A$2:C65,3,)</f>
        <v>72</v>
      </c>
      <c r="K58" s="5">
        <f>ShoeSales[[#This Row],[Quantity]]*ShoeSales[[#This Row],[Unit_price]]</f>
        <v>256</v>
      </c>
      <c r="L58" s="5">
        <f>ShoeSales[[#This Row],[Quantity]]*ShoeSales[[#This Row],[Unit_cost]]</f>
        <v>144</v>
      </c>
      <c r="M58" s="5">
        <f>ShoeSales[[#This Row],[Revenue]]-ShoeSales[[#This Row],[Total_cost]]</f>
        <v>112</v>
      </c>
      <c r="N58" s="11">
        <f>ShoeSales[[#This Row],[Profit]]/ShoeSales[[#This Row],[Revenue]]</f>
        <v>0.4375</v>
      </c>
    </row>
    <row r="59" spans="1:14" ht="14.25" customHeight="1" x14ac:dyDescent="0.25">
      <c r="A59" s="8">
        <v>46045</v>
      </c>
      <c r="B59" s="14" t="s">
        <v>15</v>
      </c>
      <c r="C59" s="16" t="s">
        <v>27</v>
      </c>
      <c r="D59" s="16" t="s">
        <v>28</v>
      </c>
      <c r="E59" s="14" t="str">
        <f ca="1">PROPER(TRIM(CLEAN(ShoeSales[[#This Row],[Brand]])))</f>
        <v>Nike</v>
      </c>
      <c r="F59" s="16" t="s">
        <v>34</v>
      </c>
      <c r="G59" s="4">
        <v>1</v>
      </c>
      <c r="H59" s="16" t="s">
        <v>30</v>
      </c>
      <c r="I59" s="5">
        <f>VLOOKUP(ShoeSales[[#This Row],[Product]],Price!$A$2:C66,2,)</f>
        <v>119</v>
      </c>
      <c r="J59" s="5">
        <f>VLOOKUP(ShoeSales[[#This Row],[Product]],Price!$A$2:C66,3,)</f>
        <v>67</v>
      </c>
      <c r="K59" s="5">
        <f>ShoeSales[[#This Row],[Quantity]]*ShoeSales[[#This Row],[Unit_price]]</f>
        <v>119</v>
      </c>
      <c r="L59" s="5">
        <f>ShoeSales[[#This Row],[Quantity]]*ShoeSales[[#This Row],[Unit_cost]]</f>
        <v>67</v>
      </c>
      <c r="M59" s="5">
        <f>ShoeSales[[#This Row],[Revenue]]-ShoeSales[[#This Row],[Total_cost]]</f>
        <v>52</v>
      </c>
      <c r="N59" s="11">
        <f>ShoeSales[[#This Row],[Profit]]/ShoeSales[[#This Row],[Revenue]]</f>
        <v>0.43697478991596639</v>
      </c>
    </row>
    <row r="60" spans="1:14" ht="14.25" customHeight="1" x14ac:dyDescent="0.25">
      <c r="A60" s="7">
        <v>46230</v>
      </c>
      <c r="B60" s="14" t="s">
        <v>12</v>
      </c>
      <c r="C60" s="15" t="s">
        <v>48</v>
      </c>
      <c r="D60" s="15" t="s">
        <v>33</v>
      </c>
      <c r="E60" s="14" t="str">
        <f ca="1">PROPER(TRIM(CLEAN(ShoeSales[[#This Row],[Brand]])))</f>
        <v>Nike</v>
      </c>
      <c r="F60" s="15" t="s">
        <v>29</v>
      </c>
      <c r="G60" s="3">
        <v>15</v>
      </c>
      <c r="H60" s="15" t="s">
        <v>30</v>
      </c>
      <c r="I60" s="5">
        <f>VLOOKUP(ShoeSales[[#This Row],[Product]],Price!$A$2:C67,2,)</f>
        <v>112</v>
      </c>
      <c r="J60" s="5">
        <f>VLOOKUP(ShoeSales[[#This Row],[Product]],Price!$A$2:C67,3,)</f>
        <v>64</v>
      </c>
      <c r="K60" s="5">
        <f>ShoeSales[[#This Row],[Quantity]]*ShoeSales[[#This Row],[Unit_price]]</f>
        <v>1680</v>
      </c>
      <c r="L60" s="5">
        <f>ShoeSales[[#This Row],[Quantity]]*ShoeSales[[#This Row],[Unit_cost]]</f>
        <v>960</v>
      </c>
      <c r="M60" s="5">
        <f>ShoeSales[[#This Row],[Revenue]]-ShoeSales[[#This Row],[Total_cost]]</f>
        <v>720</v>
      </c>
      <c r="N60" s="11">
        <f>ShoeSales[[#This Row],[Profit]]/ShoeSales[[#This Row],[Revenue]]</f>
        <v>0.42857142857142855</v>
      </c>
    </row>
    <row r="61" spans="1:14" ht="14.25" customHeight="1" x14ac:dyDescent="0.25">
      <c r="A61" s="8">
        <v>46196</v>
      </c>
      <c r="B61" s="14" t="s">
        <v>8</v>
      </c>
      <c r="C61" s="16" t="s">
        <v>27</v>
      </c>
      <c r="D61" s="16" t="s">
        <v>33</v>
      </c>
      <c r="E61" s="14" t="str">
        <f ca="1">PROPER(TRIM(CLEAN(ShoeSales[[#This Row],[Brand]])))</f>
        <v>Steve Madden</v>
      </c>
      <c r="F61" s="16" t="s">
        <v>36</v>
      </c>
      <c r="G61" s="4">
        <v>11</v>
      </c>
      <c r="H61" s="16" t="s">
        <v>45</v>
      </c>
      <c r="I61" s="5">
        <f>VLOOKUP(ShoeSales[[#This Row],[Product]],Price!$A$2:C68,2,)</f>
        <v>76</v>
      </c>
      <c r="J61" s="5">
        <f>VLOOKUP(ShoeSales[[#This Row],[Product]],Price!$A$2:C68,3,)</f>
        <v>39</v>
      </c>
      <c r="K61" s="5">
        <f>ShoeSales[[#This Row],[Quantity]]*ShoeSales[[#This Row],[Unit_price]]</f>
        <v>836</v>
      </c>
      <c r="L61" s="5">
        <f>ShoeSales[[#This Row],[Quantity]]*ShoeSales[[#This Row],[Unit_cost]]</f>
        <v>429</v>
      </c>
      <c r="M61" s="5">
        <f>ShoeSales[[#This Row],[Revenue]]-ShoeSales[[#This Row],[Total_cost]]</f>
        <v>407</v>
      </c>
      <c r="N61" s="11">
        <f>ShoeSales[[#This Row],[Profit]]/ShoeSales[[#This Row],[Revenue]]</f>
        <v>0.48684210526315791</v>
      </c>
    </row>
    <row r="62" spans="1:14" ht="14.25" customHeight="1" x14ac:dyDescent="0.25">
      <c r="A62" s="7">
        <v>46121</v>
      </c>
      <c r="B62" s="14" t="s">
        <v>10</v>
      </c>
      <c r="C62" s="15" t="s">
        <v>37</v>
      </c>
      <c r="D62" s="15" t="s">
        <v>28</v>
      </c>
      <c r="E62" s="14" t="str">
        <f ca="1">PROPER(TRIM(CLEAN(ShoeSales[[#This Row],[Brand]])))</f>
        <v>Clarks</v>
      </c>
      <c r="F62" s="15" t="s">
        <v>39</v>
      </c>
      <c r="G62" s="3">
        <v>10</v>
      </c>
      <c r="H62" s="15" t="s">
        <v>32</v>
      </c>
      <c r="I62" s="5">
        <f>VLOOKUP(ShoeSales[[#This Row],[Product]],Price!$A$2:C69,2,)</f>
        <v>105</v>
      </c>
      <c r="J62" s="5">
        <f>VLOOKUP(ShoeSales[[#This Row],[Product]],Price!$A$2:C69,3,)</f>
        <v>58</v>
      </c>
      <c r="K62" s="5">
        <f>ShoeSales[[#This Row],[Quantity]]*ShoeSales[[#This Row],[Unit_price]]</f>
        <v>1050</v>
      </c>
      <c r="L62" s="5">
        <f>ShoeSales[[#This Row],[Quantity]]*ShoeSales[[#This Row],[Unit_cost]]</f>
        <v>580</v>
      </c>
      <c r="M62" s="5">
        <f>ShoeSales[[#This Row],[Revenue]]-ShoeSales[[#This Row],[Total_cost]]</f>
        <v>470</v>
      </c>
      <c r="N62" s="11">
        <f>ShoeSales[[#This Row],[Profit]]/ShoeSales[[#This Row],[Revenue]]</f>
        <v>0.44761904761904764</v>
      </c>
    </row>
    <row r="63" spans="1:14" ht="14.25" customHeight="1" x14ac:dyDescent="0.25">
      <c r="A63" s="8">
        <v>46194</v>
      </c>
      <c r="B63" s="14" t="s">
        <v>9</v>
      </c>
      <c r="C63" s="16" t="s">
        <v>27</v>
      </c>
      <c r="D63" s="16" t="s">
        <v>42</v>
      </c>
      <c r="E63" s="14" t="str">
        <f ca="1">PROPER(TRIM(CLEAN(ShoeSales[[#This Row],[Brand]])))</f>
        <v>Steve Madden</v>
      </c>
      <c r="F63" s="16" t="s">
        <v>35</v>
      </c>
      <c r="G63" s="4">
        <v>9</v>
      </c>
      <c r="H63" s="16" t="s">
        <v>32</v>
      </c>
      <c r="I63" s="5">
        <f>VLOOKUP(ShoeSales[[#This Row],[Product]],Price!$A$2:C70,2,)</f>
        <v>128</v>
      </c>
      <c r="J63" s="5">
        <f>VLOOKUP(ShoeSales[[#This Row],[Product]],Price!$A$2:C70,3,)</f>
        <v>72</v>
      </c>
      <c r="K63" s="5">
        <f>ShoeSales[[#This Row],[Quantity]]*ShoeSales[[#This Row],[Unit_price]]</f>
        <v>1152</v>
      </c>
      <c r="L63" s="5">
        <f>ShoeSales[[#This Row],[Quantity]]*ShoeSales[[#This Row],[Unit_cost]]</f>
        <v>648</v>
      </c>
      <c r="M63" s="5">
        <f>ShoeSales[[#This Row],[Revenue]]-ShoeSales[[#This Row],[Total_cost]]</f>
        <v>504</v>
      </c>
      <c r="N63" s="11">
        <f>ShoeSales[[#This Row],[Profit]]/ShoeSales[[#This Row],[Revenue]]</f>
        <v>0.4375</v>
      </c>
    </row>
    <row r="64" spans="1:14" ht="14.25" customHeight="1" x14ac:dyDescent="0.25">
      <c r="A64" s="7">
        <v>46081</v>
      </c>
      <c r="B64" s="14" t="s">
        <v>6</v>
      </c>
      <c r="C64" s="15" t="s">
        <v>27</v>
      </c>
      <c r="D64" s="15" t="s">
        <v>38</v>
      </c>
      <c r="E64" s="14" t="str">
        <f ca="1">PROPER(TRIM(CLEAN(ShoeSales[[#This Row],[Brand]])))</f>
        <v>Nike</v>
      </c>
      <c r="F64" s="15" t="s">
        <v>29</v>
      </c>
      <c r="G64" s="3">
        <v>1</v>
      </c>
      <c r="H64" s="15" t="s">
        <v>30</v>
      </c>
      <c r="I64" s="5">
        <f>VLOOKUP(ShoeSales[[#This Row],[Product]],Price!$A$2:C71,2,)</f>
        <v>54</v>
      </c>
      <c r="J64" s="5">
        <f>VLOOKUP(ShoeSales[[#This Row],[Product]],Price!$A$2:C71,3,)</f>
        <v>28</v>
      </c>
      <c r="K64" s="5">
        <f>ShoeSales[[#This Row],[Quantity]]*ShoeSales[[#This Row],[Unit_price]]</f>
        <v>54</v>
      </c>
      <c r="L64" s="5">
        <f>ShoeSales[[#This Row],[Quantity]]*ShoeSales[[#This Row],[Unit_cost]]</f>
        <v>28</v>
      </c>
      <c r="M64" s="5">
        <f>ShoeSales[[#This Row],[Revenue]]-ShoeSales[[#This Row],[Total_cost]]</f>
        <v>26</v>
      </c>
      <c r="N64" s="11">
        <f>ShoeSales[[#This Row],[Profit]]/ShoeSales[[#This Row],[Revenue]]</f>
        <v>0.48148148148148145</v>
      </c>
    </row>
    <row r="65" spans="1:14" ht="14.25" customHeight="1" x14ac:dyDescent="0.25">
      <c r="A65" s="8">
        <v>46197</v>
      </c>
      <c r="B65" s="14" t="s">
        <v>10</v>
      </c>
      <c r="C65" s="16" t="s">
        <v>27</v>
      </c>
      <c r="D65" s="16" t="s">
        <v>33</v>
      </c>
      <c r="E65" s="14" t="str">
        <f ca="1">PROPER(TRIM(CLEAN(ShoeSales[[#This Row],[Brand]])))</f>
        <v>Zara</v>
      </c>
      <c r="F65" s="16" t="s">
        <v>44</v>
      </c>
      <c r="G65" s="4">
        <v>8</v>
      </c>
      <c r="H65" s="16" t="s">
        <v>30</v>
      </c>
      <c r="I65" s="5">
        <f>VLOOKUP(ShoeSales[[#This Row],[Product]],Price!$A$2:C72,2,)</f>
        <v>105</v>
      </c>
      <c r="J65" s="5">
        <f>VLOOKUP(ShoeSales[[#This Row],[Product]],Price!$A$2:C72,3,)</f>
        <v>58</v>
      </c>
      <c r="K65" s="5">
        <f>ShoeSales[[#This Row],[Quantity]]*ShoeSales[[#This Row],[Unit_price]]</f>
        <v>840</v>
      </c>
      <c r="L65" s="5">
        <f>ShoeSales[[#This Row],[Quantity]]*ShoeSales[[#This Row],[Unit_cost]]</f>
        <v>464</v>
      </c>
      <c r="M65" s="5">
        <f>ShoeSales[[#This Row],[Revenue]]-ShoeSales[[#This Row],[Total_cost]]</f>
        <v>376</v>
      </c>
      <c r="N65" s="11">
        <f>ShoeSales[[#This Row],[Profit]]/ShoeSales[[#This Row],[Revenue]]</f>
        <v>0.44761904761904764</v>
      </c>
    </row>
    <row r="66" spans="1:14" ht="14.25" customHeight="1" x14ac:dyDescent="0.25">
      <c r="A66" s="7">
        <v>46112</v>
      </c>
      <c r="B66" s="14" t="s">
        <v>10</v>
      </c>
      <c r="C66" s="15" t="s">
        <v>48</v>
      </c>
      <c r="D66" s="15" t="s">
        <v>33</v>
      </c>
      <c r="E66" s="14" t="str">
        <f ca="1">PROPER(TRIM(CLEAN(ShoeSales[[#This Row],[Brand]])))</f>
        <v>Steve Madden</v>
      </c>
      <c r="F66" s="15" t="s">
        <v>47</v>
      </c>
      <c r="G66" s="3">
        <v>5</v>
      </c>
      <c r="H66" s="15" t="s">
        <v>30</v>
      </c>
      <c r="I66" s="5">
        <f>VLOOKUP(ShoeSales[[#This Row],[Product]],Price!$A$2:C73,2,)</f>
        <v>105</v>
      </c>
      <c r="J66" s="5">
        <f>VLOOKUP(ShoeSales[[#This Row],[Product]],Price!$A$2:C73,3,)</f>
        <v>58</v>
      </c>
      <c r="K66" s="5">
        <f>ShoeSales[[#This Row],[Quantity]]*ShoeSales[[#This Row],[Unit_price]]</f>
        <v>525</v>
      </c>
      <c r="L66" s="5">
        <f>ShoeSales[[#This Row],[Quantity]]*ShoeSales[[#This Row],[Unit_cost]]</f>
        <v>290</v>
      </c>
      <c r="M66" s="5">
        <f>ShoeSales[[#This Row],[Revenue]]-ShoeSales[[#This Row],[Total_cost]]</f>
        <v>235</v>
      </c>
      <c r="N66" s="11">
        <f>ShoeSales[[#This Row],[Profit]]/ShoeSales[[#This Row],[Revenue]]</f>
        <v>0.44761904761904764</v>
      </c>
    </row>
    <row r="67" spans="1:14" ht="14.25" customHeight="1" x14ac:dyDescent="0.25">
      <c r="A67" s="8">
        <v>46124</v>
      </c>
      <c r="B67" s="14" t="s">
        <v>7</v>
      </c>
      <c r="C67" s="16" t="s">
        <v>48</v>
      </c>
      <c r="D67" s="16" t="s">
        <v>31</v>
      </c>
      <c r="E67" s="14" t="str">
        <f ca="1">PROPER(TRIM(CLEAN(ShoeSales[[#This Row],[Brand]])))</f>
        <v>Timberland</v>
      </c>
      <c r="F67" s="16" t="s">
        <v>34</v>
      </c>
      <c r="G67" s="4">
        <v>14</v>
      </c>
      <c r="H67" s="16" t="s">
        <v>32</v>
      </c>
      <c r="I67" s="5">
        <f>VLOOKUP(ShoeSales[[#This Row],[Product]],Price!$A$2:C74,2,)</f>
        <v>32</v>
      </c>
      <c r="J67" s="5">
        <f>VLOOKUP(ShoeSales[[#This Row],[Product]],Price!$A$2:C74,3,)</f>
        <v>14</v>
      </c>
      <c r="K67" s="5">
        <f>ShoeSales[[#This Row],[Quantity]]*ShoeSales[[#This Row],[Unit_price]]</f>
        <v>448</v>
      </c>
      <c r="L67" s="5">
        <f>ShoeSales[[#This Row],[Quantity]]*ShoeSales[[#This Row],[Unit_cost]]</f>
        <v>196</v>
      </c>
      <c r="M67" s="5">
        <f>ShoeSales[[#This Row],[Revenue]]-ShoeSales[[#This Row],[Total_cost]]</f>
        <v>252</v>
      </c>
      <c r="N67" s="11">
        <f>ShoeSales[[#This Row],[Profit]]/ShoeSales[[#This Row],[Revenue]]</f>
        <v>0.5625</v>
      </c>
    </row>
    <row r="68" spans="1:14" ht="14.25" customHeight="1" x14ac:dyDescent="0.25">
      <c r="A68" s="7">
        <v>46161</v>
      </c>
      <c r="B68" s="14" t="s">
        <v>5</v>
      </c>
      <c r="C68" s="15" t="s">
        <v>52</v>
      </c>
      <c r="D68" s="15" t="s">
        <v>42</v>
      </c>
      <c r="E68" s="14" t="str">
        <f ca="1">PROPER(TRIM(CLEAN(ShoeSales[[#This Row],[Brand]])))</f>
        <v>Clarks</v>
      </c>
      <c r="F68" s="15" t="s">
        <v>36</v>
      </c>
      <c r="G68" s="3">
        <v>14</v>
      </c>
      <c r="H68" s="15" t="s">
        <v>45</v>
      </c>
      <c r="I68" s="5">
        <f>VLOOKUP(ShoeSales[[#This Row],[Product]],Price!$A$2:C75,2,)</f>
        <v>89</v>
      </c>
      <c r="J68" s="5">
        <f>VLOOKUP(ShoeSales[[#This Row],[Product]],Price!$A$2:C75,3,)</f>
        <v>47</v>
      </c>
      <c r="K68" s="5">
        <f>ShoeSales[[#This Row],[Quantity]]*ShoeSales[[#This Row],[Unit_price]]</f>
        <v>1246</v>
      </c>
      <c r="L68" s="5">
        <f>ShoeSales[[#This Row],[Quantity]]*ShoeSales[[#This Row],[Unit_cost]]</f>
        <v>658</v>
      </c>
      <c r="M68" s="5">
        <f>ShoeSales[[#This Row],[Revenue]]-ShoeSales[[#This Row],[Total_cost]]</f>
        <v>588</v>
      </c>
      <c r="N68" s="11">
        <f>ShoeSales[[#This Row],[Profit]]/ShoeSales[[#This Row],[Revenue]]</f>
        <v>0.47191011235955055</v>
      </c>
    </row>
    <row r="69" spans="1:14" ht="14.25" customHeight="1" x14ac:dyDescent="0.25">
      <c r="A69" s="8">
        <v>46028</v>
      </c>
      <c r="B69" s="14" t="s">
        <v>12</v>
      </c>
      <c r="C69" s="16" t="s">
        <v>27</v>
      </c>
      <c r="D69" s="16" t="s">
        <v>31</v>
      </c>
      <c r="E69" s="14" t="str">
        <f ca="1">PROPER(TRIM(CLEAN(ShoeSales[[#This Row],[Brand]])))</f>
        <v>Clarks</v>
      </c>
      <c r="F69" s="16" t="s">
        <v>50</v>
      </c>
      <c r="G69" s="4">
        <v>8</v>
      </c>
      <c r="H69" s="16" t="s">
        <v>45</v>
      </c>
      <c r="I69" s="5">
        <f>VLOOKUP(ShoeSales[[#This Row],[Product]],Price!$A$2:C76,2,)</f>
        <v>112</v>
      </c>
      <c r="J69" s="5">
        <f>VLOOKUP(ShoeSales[[#This Row],[Product]],Price!$A$2:C76,3,)</f>
        <v>64</v>
      </c>
      <c r="K69" s="5">
        <f>ShoeSales[[#This Row],[Quantity]]*ShoeSales[[#This Row],[Unit_price]]</f>
        <v>896</v>
      </c>
      <c r="L69" s="5">
        <f>ShoeSales[[#This Row],[Quantity]]*ShoeSales[[#This Row],[Unit_cost]]</f>
        <v>512</v>
      </c>
      <c r="M69" s="5">
        <f>ShoeSales[[#This Row],[Revenue]]-ShoeSales[[#This Row],[Total_cost]]</f>
        <v>384</v>
      </c>
      <c r="N69" s="11">
        <f>ShoeSales[[#This Row],[Profit]]/ShoeSales[[#This Row],[Revenue]]</f>
        <v>0.42857142857142855</v>
      </c>
    </row>
    <row r="70" spans="1:14" ht="14.25" customHeight="1" x14ac:dyDescent="0.25">
      <c r="A70" s="7">
        <v>46179</v>
      </c>
      <c r="B70" s="14" t="s">
        <v>6</v>
      </c>
      <c r="C70" s="15" t="s">
        <v>27</v>
      </c>
      <c r="D70" s="15" t="s">
        <v>31</v>
      </c>
      <c r="E70" s="14" t="str">
        <f ca="1">PROPER(TRIM(CLEAN(ShoeSales[[#This Row],[Brand]])))</f>
        <v>Clarks</v>
      </c>
      <c r="F70" s="15" t="s">
        <v>49</v>
      </c>
      <c r="G70" s="3">
        <v>7</v>
      </c>
      <c r="H70" s="15" t="s">
        <v>30</v>
      </c>
      <c r="I70" s="5">
        <f>VLOOKUP(ShoeSales[[#This Row],[Product]],Price!$A$2:C77,2,)</f>
        <v>54</v>
      </c>
      <c r="J70" s="5">
        <f>VLOOKUP(ShoeSales[[#This Row],[Product]],Price!$A$2:C77,3,)</f>
        <v>28</v>
      </c>
      <c r="K70" s="5">
        <f>ShoeSales[[#This Row],[Quantity]]*ShoeSales[[#This Row],[Unit_price]]</f>
        <v>378</v>
      </c>
      <c r="L70" s="5">
        <f>ShoeSales[[#This Row],[Quantity]]*ShoeSales[[#This Row],[Unit_cost]]</f>
        <v>196</v>
      </c>
      <c r="M70" s="5">
        <f>ShoeSales[[#This Row],[Revenue]]-ShoeSales[[#This Row],[Total_cost]]</f>
        <v>182</v>
      </c>
      <c r="N70" s="11">
        <f>ShoeSales[[#This Row],[Profit]]/ShoeSales[[#This Row],[Revenue]]</f>
        <v>0.48148148148148145</v>
      </c>
    </row>
    <row r="71" spans="1:14" ht="14.25" customHeight="1" x14ac:dyDescent="0.25">
      <c r="A71" s="8">
        <v>46182</v>
      </c>
      <c r="B71" s="14" t="s">
        <v>12</v>
      </c>
      <c r="C71" s="16" t="s">
        <v>52</v>
      </c>
      <c r="D71" s="16" t="s">
        <v>33</v>
      </c>
      <c r="E71" s="14" t="str">
        <f ca="1">PROPER(TRIM(CLEAN(ShoeSales[[#This Row],[Brand]])))</f>
        <v>Clarks</v>
      </c>
      <c r="F71" s="16" t="s">
        <v>49</v>
      </c>
      <c r="G71" s="4">
        <v>7</v>
      </c>
      <c r="H71" s="16" t="s">
        <v>45</v>
      </c>
      <c r="I71" s="5">
        <f>VLOOKUP(ShoeSales[[#This Row],[Product]],Price!$A$2:C78,2,)</f>
        <v>112</v>
      </c>
      <c r="J71" s="5">
        <f>VLOOKUP(ShoeSales[[#This Row],[Product]],Price!$A$2:C78,3,)</f>
        <v>64</v>
      </c>
      <c r="K71" s="5">
        <f>ShoeSales[[#This Row],[Quantity]]*ShoeSales[[#This Row],[Unit_price]]</f>
        <v>784</v>
      </c>
      <c r="L71" s="5">
        <f>ShoeSales[[#This Row],[Quantity]]*ShoeSales[[#This Row],[Unit_cost]]</f>
        <v>448</v>
      </c>
      <c r="M71" s="5">
        <f>ShoeSales[[#This Row],[Revenue]]-ShoeSales[[#This Row],[Total_cost]]</f>
        <v>336</v>
      </c>
      <c r="N71" s="11">
        <f>ShoeSales[[#This Row],[Profit]]/ShoeSales[[#This Row],[Revenue]]</f>
        <v>0.42857142857142855</v>
      </c>
    </row>
    <row r="72" spans="1:14" ht="14.25" customHeight="1" x14ac:dyDescent="0.25">
      <c r="A72" s="7">
        <v>46085</v>
      </c>
      <c r="B72" s="14" t="s">
        <v>5</v>
      </c>
      <c r="C72" s="15" t="s">
        <v>27</v>
      </c>
      <c r="D72" s="15" t="s">
        <v>33</v>
      </c>
      <c r="E72" s="14" t="str">
        <f ca="1">PROPER(TRIM(CLEAN(ShoeSales[[#This Row],[Brand]])))</f>
        <v>Timberland</v>
      </c>
      <c r="F72" s="15" t="s">
        <v>39</v>
      </c>
      <c r="G72" s="3">
        <v>8</v>
      </c>
      <c r="H72" s="15" t="s">
        <v>41</v>
      </c>
      <c r="I72" s="5">
        <f>VLOOKUP(ShoeSales[[#This Row],[Product]],Price!$A$2:C79,2,)</f>
        <v>89</v>
      </c>
      <c r="J72" s="5">
        <f>VLOOKUP(ShoeSales[[#This Row],[Product]],Price!$A$2:C79,3,)</f>
        <v>47</v>
      </c>
      <c r="K72" s="5">
        <f>ShoeSales[[#This Row],[Quantity]]*ShoeSales[[#This Row],[Unit_price]]</f>
        <v>712</v>
      </c>
      <c r="L72" s="5">
        <f>ShoeSales[[#This Row],[Quantity]]*ShoeSales[[#This Row],[Unit_cost]]</f>
        <v>376</v>
      </c>
      <c r="M72" s="5">
        <f>ShoeSales[[#This Row],[Revenue]]-ShoeSales[[#This Row],[Total_cost]]</f>
        <v>336</v>
      </c>
      <c r="N72" s="11">
        <f>ShoeSales[[#This Row],[Profit]]/ShoeSales[[#This Row],[Revenue]]</f>
        <v>0.47191011235955055</v>
      </c>
    </row>
    <row r="73" spans="1:14" ht="14.25" customHeight="1" x14ac:dyDescent="0.25">
      <c r="A73" s="8">
        <v>46213</v>
      </c>
      <c r="B73" s="14" t="s">
        <v>7</v>
      </c>
      <c r="C73" s="16" t="s">
        <v>48</v>
      </c>
      <c r="D73" s="16" t="s">
        <v>33</v>
      </c>
      <c r="E73" s="14" t="str">
        <f ca="1">PROPER(TRIM(CLEAN(ShoeSales[[#This Row],[Brand]])))</f>
        <v>Clarks</v>
      </c>
      <c r="F73" s="16" t="s">
        <v>36</v>
      </c>
      <c r="G73" s="4">
        <v>9</v>
      </c>
      <c r="H73" s="16" t="s">
        <v>45</v>
      </c>
      <c r="I73" s="5">
        <f>VLOOKUP(ShoeSales[[#This Row],[Product]],Price!$A$2:C80,2,)</f>
        <v>32</v>
      </c>
      <c r="J73" s="5">
        <f>VLOOKUP(ShoeSales[[#This Row],[Product]],Price!$A$2:C80,3,)</f>
        <v>14</v>
      </c>
      <c r="K73" s="5">
        <f>ShoeSales[[#This Row],[Quantity]]*ShoeSales[[#This Row],[Unit_price]]</f>
        <v>288</v>
      </c>
      <c r="L73" s="5">
        <f>ShoeSales[[#This Row],[Quantity]]*ShoeSales[[#This Row],[Unit_cost]]</f>
        <v>126</v>
      </c>
      <c r="M73" s="5">
        <f>ShoeSales[[#This Row],[Revenue]]-ShoeSales[[#This Row],[Total_cost]]</f>
        <v>162</v>
      </c>
      <c r="N73" s="11">
        <f>ShoeSales[[#This Row],[Profit]]/ShoeSales[[#This Row],[Revenue]]</f>
        <v>0.5625</v>
      </c>
    </row>
    <row r="74" spans="1:14" ht="14.25" customHeight="1" x14ac:dyDescent="0.25">
      <c r="A74" s="7">
        <v>46089</v>
      </c>
      <c r="B74" s="14" t="s">
        <v>8</v>
      </c>
      <c r="C74" s="15" t="s">
        <v>27</v>
      </c>
      <c r="D74" s="15" t="s">
        <v>42</v>
      </c>
      <c r="E74" s="14" t="str">
        <f ca="1">PROPER(TRIM(CLEAN(ShoeSales[[#This Row],[Brand]])))</f>
        <v>Zara</v>
      </c>
      <c r="F74" s="15" t="s">
        <v>36</v>
      </c>
      <c r="G74" s="3">
        <v>5</v>
      </c>
      <c r="H74" s="15" t="s">
        <v>32</v>
      </c>
      <c r="I74" s="5">
        <f>VLOOKUP(ShoeSales[[#This Row],[Product]],Price!$A$2:C81,2,)</f>
        <v>76</v>
      </c>
      <c r="J74" s="5">
        <f>VLOOKUP(ShoeSales[[#This Row],[Product]],Price!$A$2:C81,3,)</f>
        <v>39</v>
      </c>
      <c r="K74" s="5">
        <f>ShoeSales[[#This Row],[Quantity]]*ShoeSales[[#This Row],[Unit_price]]</f>
        <v>380</v>
      </c>
      <c r="L74" s="5">
        <f>ShoeSales[[#This Row],[Quantity]]*ShoeSales[[#This Row],[Unit_cost]]</f>
        <v>195</v>
      </c>
      <c r="M74" s="5">
        <f>ShoeSales[[#This Row],[Revenue]]-ShoeSales[[#This Row],[Total_cost]]</f>
        <v>185</v>
      </c>
      <c r="N74" s="11">
        <f>ShoeSales[[#This Row],[Profit]]/ShoeSales[[#This Row],[Revenue]]</f>
        <v>0.48684210526315791</v>
      </c>
    </row>
    <row r="75" spans="1:14" ht="14.25" customHeight="1" x14ac:dyDescent="0.25">
      <c r="A75" s="8">
        <v>46174</v>
      </c>
      <c r="B75" s="14" t="s">
        <v>8</v>
      </c>
      <c r="C75" s="16" t="s">
        <v>27</v>
      </c>
      <c r="D75" s="16" t="s">
        <v>38</v>
      </c>
      <c r="E75" s="14" t="str">
        <f ca="1">PROPER(TRIM(CLEAN(ShoeSales[[#This Row],[Brand]])))</f>
        <v>Steve Madden</v>
      </c>
      <c r="F75" s="16" t="s">
        <v>49</v>
      </c>
      <c r="G75" s="4">
        <v>9</v>
      </c>
      <c r="H75" s="16" t="s">
        <v>41</v>
      </c>
      <c r="I75" s="5">
        <f>VLOOKUP(ShoeSales[[#This Row],[Product]],Price!$A$2:C82,2,)</f>
        <v>76</v>
      </c>
      <c r="J75" s="5">
        <f>VLOOKUP(ShoeSales[[#This Row],[Product]],Price!$A$2:C82,3,)</f>
        <v>39</v>
      </c>
      <c r="K75" s="5">
        <f>ShoeSales[[#This Row],[Quantity]]*ShoeSales[[#This Row],[Unit_price]]</f>
        <v>684</v>
      </c>
      <c r="L75" s="5">
        <f>ShoeSales[[#This Row],[Quantity]]*ShoeSales[[#This Row],[Unit_cost]]</f>
        <v>351</v>
      </c>
      <c r="M75" s="5">
        <f>ShoeSales[[#This Row],[Revenue]]-ShoeSales[[#This Row],[Total_cost]]</f>
        <v>333</v>
      </c>
      <c r="N75" s="11">
        <f>ShoeSales[[#This Row],[Profit]]/ShoeSales[[#This Row],[Revenue]]</f>
        <v>0.48684210526315791</v>
      </c>
    </row>
    <row r="76" spans="1:14" ht="14.25" customHeight="1" x14ac:dyDescent="0.25">
      <c r="A76" s="7">
        <v>46077</v>
      </c>
      <c r="B76" s="14" t="s">
        <v>10</v>
      </c>
      <c r="C76" s="15" t="s">
        <v>48</v>
      </c>
      <c r="D76" s="15" t="s">
        <v>42</v>
      </c>
      <c r="E76" s="14" t="str">
        <f ca="1">PROPER(TRIM(CLEAN(ShoeSales[[#This Row],[Brand]])))</f>
        <v>Clarks</v>
      </c>
      <c r="F76" s="15" t="s">
        <v>47</v>
      </c>
      <c r="G76" s="3">
        <v>7</v>
      </c>
      <c r="H76" s="15" t="s">
        <v>32</v>
      </c>
      <c r="I76" s="5">
        <f>VLOOKUP(ShoeSales[[#This Row],[Product]],Price!$A$2:C83,2,)</f>
        <v>105</v>
      </c>
      <c r="J76" s="5">
        <f>VLOOKUP(ShoeSales[[#This Row],[Product]],Price!$A$2:C83,3,)</f>
        <v>58</v>
      </c>
      <c r="K76" s="5">
        <f>ShoeSales[[#This Row],[Quantity]]*ShoeSales[[#This Row],[Unit_price]]</f>
        <v>735</v>
      </c>
      <c r="L76" s="5">
        <f>ShoeSales[[#This Row],[Quantity]]*ShoeSales[[#This Row],[Unit_cost]]</f>
        <v>406</v>
      </c>
      <c r="M76" s="5">
        <f>ShoeSales[[#This Row],[Revenue]]-ShoeSales[[#This Row],[Total_cost]]</f>
        <v>329</v>
      </c>
      <c r="N76" s="11">
        <f>ShoeSales[[#This Row],[Profit]]/ShoeSales[[#This Row],[Revenue]]</f>
        <v>0.44761904761904764</v>
      </c>
    </row>
    <row r="77" spans="1:14" ht="14.25" customHeight="1" x14ac:dyDescent="0.25">
      <c r="A77" s="8">
        <v>46148</v>
      </c>
      <c r="B77" s="14" t="s">
        <v>10</v>
      </c>
      <c r="C77" s="16" t="s">
        <v>27</v>
      </c>
      <c r="D77" s="16" t="s">
        <v>33</v>
      </c>
      <c r="E77" s="14" t="str">
        <f ca="1">PROPER(TRIM(CLEAN(ShoeSales[[#This Row],[Brand]])))</f>
        <v>Clarks</v>
      </c>
      <c r="F77" s="16" t="s">
        <v>29</v>
      </c>
      <c r="G77" s="4">
        <v>13</v>
      </c>
      <c r="H77" s="16" t="s">
        <v>41</v>
      </c>
      <c r="I77" s="5">
        <f>VLOOKUP(ShoeSales[[#This Row],[Product]],Price!$A$2:C84,2,)</f>
        <v>105</v>
      </c>
      <c r="J77" s="5">
        <f>VLOOKUP(ShoeSales[[#This Row],[Product]],Price!$A$2:C84,3,)</f>
        <v>58</v>
      </c>
      <c r="K77" s="5">
        <f>ShoeSales[[#This Row],[Quantity]]*ShoeSales[[#This Row],[Unit_price]]</f>
        <v>1365</v>
      </c>
      <c r="L77" s="5">
        <f>ShoeSales[[#This Row],[Quantity]]*ShoeSales[[#This Row],[Unit_cost]]</f>
        <v>754</v>
      </c>
      <c r="M77" s="5">
        <f>ShoeSales[[#This Row],[Revenue]]-ShoeSales[[#This Row],[Total_cost]]</f>
        <v>611</v>
      </c>
      <c r="N77" s="11">
        <f>ShoeSales[[#This Row],[Profit]]/ShoeSales[[#This Row],[Revenue]]</f>
        <v>0.44761904761904764</v>
      </c>
    </row>
    <row r="78" spans="1:14" ht="14.25" customHeight="1" x14ac:dyDescent="0.25">
      <c r="A78" s="7">
        <v>46058</v>
      </c>
      <c r="B78" s="14" t="s">
        <v>6</v>
      </c>
      <c r="C78" s="15" t="s">
        <v>27</v>
      </c>
      <c r="D78" s="15" t="s">
        <v>38</v>
      </c>
      <c r="E78" s="14" t="str">
        <f ca="1">PROPER(TRIM(CLEAN(ShoeSales[[#This Row],[Brand]])))</f>
        <v>Zara</v>
      </c>
      <c r="F78" s="15" t="s">
        <v>39</v>
      </c>
      <c r="G78" s="3">
        <v>8</v>
      </c>
      <c r="H78" s="15" t="s">
        <v>32</v>
      </c>
      <c r="I78" s="5">
        <f>VLOOKUP(ShoeSales[[#This Row],[Product]],Price!$A$2:C85,2,)</f>
        <v>54</v>
      </c>
      <c r="J78" s="5">
        <f>VLOOKUP(ShoeSales[[#This Row],[Product]],Price!$A$2:C85,3,)</f>
        <v>28</v>
      </c>
      <c r="K78" s="5">
        <f>ShoeSales[[#This Row],[Quantity]]*ShoeSales[[#This Row],[Unit_price]]</f>
        <v>432</v>
      </c>
      <c r="L78" s="5">
        <f>ShoeSales[[#This Row],[Quantity]]*ShoeSales[[#This Row],[Unit_cost]]</f>
        <v>224</v>
      </c>
      <c r="M78" s="5">
        <f>ShoeSales[[#This Row],[Revenue]]-ShoeSales[[#This Row],[Total_cost]]</f>
        <v>208</v>
      </c>
      <c r="N78" s="11">
        <f>ShoeSales[[#This Row],[Profit]]/ShoeSales[[#This Row],[Revenue]]</f>
        <v>0.48148148148148145</v>
      </c>
    </row>
    <row r="79" spans="1:14" ht="14.25" customHeight="1" x14ac:dyDescent="0.25">
      <c r="A79" s="8">
        <v>46084</v>
      </c>
      <c r="B79" s="14" t="s">
        <v>7</v>
      </c>
      <c r="C79" s="16" t="s">
        <v>48</v>
      </c>
      <c r="D79" s="16" t="s">
        <v>42</v>
      </c>
      <c r="E79" s="14" t="str">
        <f ca="1">PROPER(TRIM(CLEAN(ShoeSales[[#This Row],[Brand]])))</f>
        <v>Timberland</v>
      </c>
      <c r="F79" s="16" t="s">
        <v>49</v>
      </c>
      <c r="G79" s="4">
        <v>11</v>
      </c>
      <c r="H79" s="16" t="s">
        <v>45</v>
      </c>
      <c r="I79" s="5">
        <f>VLOOKUP(ShoeSales[[#This Row],[Product]],Price!$A$2:C86,2,)</f>
        <v>32</v>
      </c>
      <c r="J79" s="5">
        <f>VLOOKUP(ShoeSales[[#This Row],[Product]],Price!$A$2:C86,3,)</f>
        <v>14</v>
      </c>
      <c r="K79" s="5">
        <f>ShoeSales[[#This Row],[Quantity]]*ShoeSales[[#This Row],[Unit_price]]</f>
        <v>352</v>
      </c>
      <c r="L79" s="5">
        <f>ShoeSales[[#This Row],[Quantity]]*ShoeSales[[#This Row],[Unit_cost]]</f>
        <v>154</v>
      </c>
      <c r="M79" s="5">
        <f>ShoeSales[[#This Row],[Revenue]]-ShoeSales[[#This Row],[Total_cost]]</f>
        <v>198</v>
      </c>
      <c r="N79" s="11">
        <f>ShoeSales[[#This Row],[Profit]]/ShoeSales[[#This Row],[Revenue]]</f>
        <v>0.5625</v>
      </c>
    </row>
    <row r="80" spans="1:14" ht="14.25" customHeight="1" x14ac:dyDescent="0.25">
      <c r="A80" s="7">
        <v>46133</v>
      </c>
      <c r="B80" s="14" t="s">
        <v>12</v>
      </c>
      <c r="C80" s="15" t="s">
        <v>27</v>
      </c>
      <c r="D80" s="15" t="s">
        <v>33</v>
      </c>
      <c r="E80" s="14" t="str">
        <f ca="1">PROPER(TRIM(CLEAN(ShoeSales[[#This Row],[Brand]])))</f>
        <v>Clarks</v>
      </c>
      <c r="F80" s="15" t="s">
        <v>43</v>
      </c>
      <c r="G80" s="3">
        <v>11</v>
      </c>
      <c r="H80" s="15" t="s">
        <v>32</v>
      </c>
      <c r="I80" s="5">
        <f>VLOOKUP(ShoeSales[[#This Row],[Product]],Price!$A$2:C87,2,)</f>
        <v>112</v>
      </c>
      <c r="J80" s="5">
        <f>VLOOKUP(ShoeSales[[#This Row],[Product]],Price!$A$2:C87,3,)</f>
        <v>64</v>
      </c>
      <c r="K80" s="5">
        <f>ShoeSales[[#This Row],[Quantity]]*ShoeSales[[#This Row],[Unit_price]]</f>
        <v>1232</v>
      </c>
      <c r="L80" s="5">
        <f>ShoeSales[[#This Row],[Quantity]]*ShoeSales[[#This Row],[Unit_cost]]</f>
        <v>704</v>
      </c>
      <c r="M80" s="5">
        <f>ShoeSales[[#This Row],[Revenue]]-ShoeSales[[#This Row],[Total_cost]]</f>
        <v>528</v>
      </c>
      <c r="N80" s="11">
        <f>ShoeSales[[#This Row],[Profit]]/ShoeSales[[#This Row],[Revenue]]</f>
        <v>0.42857142857142855</v>
      </c>
    </row>
    <row r="81" spans="1:14" ht="14.25" customHeight="1" x14ac:dyDescent="0.25">
      <c r="A81" s="8">
        <v>46219</v>
      </c>
      <c r="B81" s="14" t="s">
        <v>15</v>
      </c>
      <c r="C81" s="16" t="s">
        <v>27</v>
      </c>
      <c r="D81" s="16" t="s">
        <v>31</v>
      </c>
      <c r="E81" s="14" t="str">
        <f ca="1">PROPER(TRIM(CLEAN(ShoeSales[[#This Row],[Brand]])))</f>
        <v>Timberland</v>
      </c>
      <c r="F81" s="16" t="s">
        <v>53</v>
      </c>
      <c r="G81" s="4">
        <v>15</v>
      </c>
      <c r="H81" s="16" t="s">
        <v>32</v>
      </c>
      <c r="I81" s="5">
        <f>VLOOKUP(ShoeSales[[#This Row],[Product]],Price!$A$2:C88,2,)</f>
        <v>119</v>
      </c>
      <c r="J81" s="5">
        <f>VLOOKUP(ShoeSales[[#This Row],[Product]],Price!$A$2:C88,3,)</f>
        <v>67</v>
      </c>
      <c r="K81" s="5">
        <f>ShoeSales[[#This Row],[Quantity]]*ShoeSales[[#This Row],[Unit_price]]</f>
        <v>1785</v>
      </c>
      <c r="L81" s="5">
        <f>ShoeSales[[#This Row],[Quantity]]*ShoeSales[[#This Row],[Unit_cost]]</f>
        <v>1005</v>
      </c>
      <c r="M81" s="5">
        <f>ShoeSales[[#This Row],[Revenue]]-ShoeSales[[#This Row],[Total_cost]]</f>
        <v>780</v>
      </c>
      <c r="N81" s="11">
        <f>ShoeSales[[#This Row],[Profit]]/ShoeSales[[#This Row],[Revenue]]</f>
        <v>0.43697478991596639</v>
      </c>
    </row>
    <row r="82" spans="1:14" ht="14.25" customHeight="1" x14ac:dyDescent="0.25">
      <c r="A82" s="7">
        <v>46090</v>
      </c>
      <c r="B82" s="14" t="s">
        <v>9</v>
      </c>
      <c r="C82" s="15" t="s">
        <v>48</v>
      </c>
      <c r="D82" s="15" t="s">
        <v>42</v>
      </c>
      <c r="E82" s="14" t="str">
        <f ca="1">PROPER(TRIM(CLEAN(ShoeSales[[#This Row],[Brand]])))</f>
        <v>Zara</v>
      </c>
      <c r="F82" s="15" t="s">
        <v>50</v>
      </c>
      <c r="G82" s="3">
        <v>10</v>
      </c>
      <c r="H82" s="15" t="s">
        <v>30</v>
      </c>
      <c r="I82" s="5">
        <f>VLOOKUP(ShoeSales[[#This Row],[Product]],Price!$A$2:C89,2,)</f>
        <v>128</v>
      </c>
      <c r="J82" s="5">
        <f>VLOOKUP(ShoeSales[[#This Row],[Product]],Price!$A$2:C89,3,)</f>
        <v>72</v>
      </c>
      <c r="K82" s="5">
        <f>ShoeSales[[#This Row],[Quantity]]*ShoeSales[[#This Row],[Unit_price]]</f>
        <v>1280</v>
      </c>
      <c r="L82" s="5">
        <f>ShoeSales[[#This Row],[Quantity]]*ShoeSales[[#This Row],[Unit_cost]]</f>
        <v>720</v>
      </c>
      <c r="M82" s="5">
        <f>ShoeSales[[#This Row],[Revenue]]-ShoeSales[[#This Row],[Total_cost]]</f>
        <v>560</v>
      </c>
      <c r="N82" s="11">
        <f>ShoeSales[[#This Row],[Profit]]/ShoeSales[[#This Row],[Revenue]]</f>
        <v>0.4375</v>
      </c>
    </row>
    <row r="83" spans="1:14" ht="14.25" customHeight="1" x14ac:dyDescent="0.25">
      <c r="A83" s="8">
        <v>46117</v>
      </c>
      <c r="B83" s="14" t="s">
        <v>8</v>
      </c>
      <c r="C83" s="16" t="s">
        <v>37</v>
      </c>
      <c r="D83" s="16" t="s">
        <v>42</v>
      </c>
      <c r="E83" s="14" t="str">
        <f ca="1">PROPER(TRIM(CLEAN(ShoeSales[[#This Row],[Brand]])))</f>
        <v>Zara</v>
      </c>
      <c r="F83" s="16" t="s">
        <v>44</v>
      </c>
      <c r="G83" s="4">
        <v>4</v>
      </c>
      <c r="H83" s="16" t="s">
        <v>30</v>
      </c>
      <c r="I83" s="5">
        <f>VLOOKUP(ShoeSales[[#This Row],[Product]],Price!$A$2:C90,2,)</f>
        <v>76</v>
      </c>
      <c r="J83" s="5">
        <f>VLOOKUP(ShoeSales[[#This Row],[Product]],Price!$A$2:C90,3,)</f>
        <v>39</v>
      </c>
      <c r="K83" s="5">
        <f>ShoeSales[[#This Row],[Quantity]]*ShoeSales[[#This Row],[Unit_price]]</f>
        <v>304</v>
      </c>
      <c r="L83" s="5">
        <f>ShoeSales[[#This Row],[Quantity]]*ShoeSales[[#This Row],[Unit_cost]]</f>
        <v>156</v>
      </c>
      <c r="M83" s="5">
        <f>ShoeSales[[#This Row],[Revenue]]-ShoeSales[[#This Row],[Total_cost]]</f>
        <v>148</v>
      </c>
      <c r="N83" s="11">
        <f>ShoeSales[[#This Row],[Profit]]/ShoeSales[[#This Row],[Revenue]]</f>
        <v>0.48684210526315791</v>
      </c>
    </row>
    <row r="84" spans="1:14" ht="14.25" customHeight="1" x14ac:dyDescent="0.25">
      <c r="A84" s="7">
        <v>46097</v>
      </c>
      <c r="B84" s="14" t="s">
        <v>8</v>
      </c>
      <c r="C84" s="15" t="s">
        <v>48</v>
      </c>
      <c r="D84" s="15" t="s">
        <v>33</v>
      </c>
      <c r="E84" s="14" t="str">
        <f ca="1">PROPER(TRIM(CLEAN(ShoeSales[[#This Row],[Brand]])))</f>
        <v>Steve Madden</v>
      </c>
      <c r="F84" s="15" t="s">
        <v>46</v>
      </c>
      <c r="G84" s="3">
        <v>7</v>
      </c>
      <c r="H84" s="15" t="s">
        <v>45</v>
      </c>
      <c r="I84" s="5">
        <f>VLOOKUP(ShoeSales[[#This Row],[Product]],Price!$A$2:C91,2,)</f>
        <v>76</v>
      </c>
      <c r="J84" s="5">
        <f>VLOOKUP(ShoeSales[[#This Row],[Product]],Price!$A$2:C91,3,)</f>
        <v>39</v>
      </c>
      <c r="K84" s="5">
        <f>ShoeSales[[#This Row],[Quantity]]*ShoeSales[[#This Row],[Unit_price]]</f>
        <v>532</v>
      </c>
      <c r="L84" s="5">
        <f>ShoeSales[[#This Row],[Quantity]]*ShoeSales[[#This Row],[Unit_cost]]</f>
        <v>273</v>
      </c>
      <c r="M84" s="5">
        <f>ShoeSales[[#This Row],[Revenue]]-ShoeSales[[#This Row],[Total_cost]]</f>
        <v>259</v>
      </c>
      <c r="N84" s="11">
        <f>ShoeSales[[#This Row],[Profit]]/ShoeSales[[#This Row],[Revenue]]</f>
        <v>0.48684210526315791</v>
      </c>
    </row>
    <row r="85" spans="1:14" ht="14.25" customHeight="1" x14ac:dyDescent="0.25">
      <c r="A85" s="8">
        <v>46041</v>
      </c>
      <c r="B85" s="14" t="s">
        <v>7</v>
      </c>
      <c r="C85" s="16" t="s">
        <v>37</v>
      </c>
      <c r="D85" s="16" t="s">
        <v>38</v>
      </c>
      <c r="E85" s="14" t="str">
        <f ca="1">PROPER(TRIM(CLEAN(ShoeSales[[#This Row],[Brand]])))</f>
        <v>Steve Madden</v>
      </c>
      <c r="F85" s="16" t="s">
        <v>51</v>
      </c>
      <c r="G85" s="4">
        <v>7</v>
      </c>
      <c r="H85" s="16" t="s">
        <v>41</v>
      </c>
      <c r="I85" s="5">
        <f>VLOOKUP(ShoeSales[[#This Row],[Product]],Price!$A$2:C92,2,)</f>
        <v>32</v>
      </c>
      <c r="J85" s="5">
        <f>VLOOKUP(ShoeSales[[#This Row],[Product]],Price!$A$2:C92,3,)</f>
        <v>14</v>
      </c>
      <c r="K85" s="5">
        <f>ShoeSales[[#This Row],[Quantity]]*ShoeSales[[#This Row],[Unit_price]]</f>
        <v>224</v>
      </c>
      <c r="L85" s="5">
        <f>ShoeSales[[#This Row],[Quantity]]*ShoeSales[[#This Row],[Unit_cost]]</f>
        <v>98</v>
      </c>
      <c r="M85" s="5">
        <f>ShoeSales[[#This Row],[Revenue]]-ShoeSales[[#This Row],[Total_cost]]</f>
        <v>126</v>
      </c>
      <c r="N85" s="11">
        <f>ShoeSales[[#This Row],[Profit]]/ShoeSales[[#This Row],[Revenue]]</f>
        <v>0.5625</v>
      </c>
    </row>
    <row r="86" spans="1:14" ht="14.25" customHeight="1" x14ac:dyDescent="0.25">
      <c r="A86" s="7">
        <v>46187</v>
      </c>
      <c r="B86" s="14" t="s">
        <v>8</v>
      </c>
      <c r="C86" s="15" t="s">
        <v>27</v>
      </c>
      <c r="D86" s="15" t="s">
        <v>33</v>
      </c>
      <c r="E86" s="14" t="str">
        <f ca="1">PROPER(TRIM(CLEAN(ShoeSales[[#This Row],[Brand]])))</f>
        <v>Zara</v>
      </c>
      <c r="F86" s="15" t="s">
        <v>34</v>
      </c>
      <c r="G86" s="3">
        <v>13</v>
      </c>
      <c r="H86" s="15" t="s">
        <v>45</v>
      </c>
      <c r="I86" s="5">
        <f>VLOOKUP(ShoeSales[[#This Row],[Product]],Price!$A$2:C93,2,)</f>
        <v>76</v>
      </c>
      <c r="J86" s="5">
        <f>VLOOKUP(ShoeSales[[#This Row],[Product]],Price!$A$2:C93,3,)</f>
        <v>39</v>
      </c>
      <c r="K86" s="5">
        <f>ShoeSales[[#This Row],[Quantity]]*ShoeSales[[#This Row],[Unit_price]]</f>
        <v>988</v>
      </c>
      <c r="L86" s="5">
        <f>ShoeSales[[#This Row],[Quantity]]*ShoeSales[[#This Row],[Unit_cost]]</f>
        <v>507</v>
      </c>
      <c r="M86" s="5">
        <f>ShoeSales[[#This Row],[Revenue]]-ShoeSales[[#This Row],[Total_cost]]</f>
        <v>481</v>
      </c>
      <c r="N86" s="11">
        <f>ShoeSales[[#This Row],[Profit]]/ShoeSales[[#This Row],[Revenue]]</f>
        <v>0.48684210526315791</v>
      </c>
    </row>
    <row r="87" spans="1:14" ht="14.25" customHeight="1" x14ac:dyDescent="0.25">
      <c r="A87" s="8">
        <v>46144</v>
      </c>
      <c r="B87" s="14" t="s">
        <v>6</v>
      </c>
      <c r="C87" s="16" t="s">
        <v>37</v>
      </c>
      <c r="D87" s="16" t="s">
        <v>33</v>
      </c>
      <c r="E87" s="14" t="str">
        <f ca="1">PROPER(TRIM(CLEAN(ShoeSales[[#This Row],[Brand]])))</f>
        <v>Timberland</v>
      </c>
      <c r="F87" s="16" t="s">
        <v>51</v>
      </c>
      <c r="G87" s="4">
        <v>12</v>
      </c>
      <c r="H87" s="16" t="s">
        <v>30</v>
      </c>
      <c r="I87" s="5">
        <f>VLOOKUP(ShoeSales[[#This Row],[Product]],Price!$A$2:C94,2,)</f>
        <v>54</v>
      </c>
      <c r="J87" s="5">
        <f>VLOOKUP(ShoeSales[[#This Row],[Product]],Price!$A$2:C94,3,)</f>
        <v>28</v>
      </c>
      <c r="K87" s="5">
        <f>ShoeSales[[#This Row],[Quantity]]*ShoeSales[[#This Row],[Unit_price]]</f>
        <v>648</v>
      </c>
      <c r="L87" s="5">
        <f>ShoeSales[[#This Row],[Quantity]]*ShoeSales[[#This Row],[Unit_cost]]</f>
        <v>336</v>
      </c>
      <c r="M87" s="5">
        <f>ShoeSales[[#This Row],[Revenue]]-ShoeSales[[#This Row],[Total_cost]]</f>
        <v>312</v>
      </c>
      <c r="N87" s="11">
        <f>ShoeSales[[#This Row],[Profit]]/ShoeSales[[#This Row],[Revenue]]</f>
        <v>0.48148148148148145</v>
      </c>
    </row>
    <row r="88" spans="1:14" ht="14.25" customHeight="1" x14ac:dyDescent="0.25">
      <c r="A88" s="7">
        <v>46057</v>
      </c>
      <c r="B88" s="14" t="s">
        <v>8</v>
      </c>
      <c r="C88" s="15" t="s">
        <v>48</v>
      </c>
      <c r="D88" s="15" t="s">
        <v>28</v>
      </c>
      <c r="E88" s="14" t="str">
        <f ca="1">PROPER(TRIM(CLEAN(ShoeSales[[#This Row],[Brand]])))</f>
        <v>Timberland</v>
      </c>
      <c r="F88" s="15" t="s">
        <v>29</v>
      </c>
      <c r="G88" s="3">
        <v>14</v>
      </c>
      <c r="H88" s="15" t="s">
        <v>41</v>
      </c>
      <c r="I88" s="5">
        <f>VLOOKUP(ShoeSales[[#This Row],[Product]],Price!$A$2:C95,2,)</f>
        <v>76</v>
      </c>
      <c r="J88" s="5">
        <f>VLOOKUP(ShoeSales[[#This Row],[Product]],Price!$A$2:C95,3,)</f>
        <v>39</v>
      </c>
      <c r="K88" s="5">
        <f>ShoeSales[[#This Row],[Quantity]]*ShoeSales[[#This Row],[Unit_price]]</f>
        <v>1064</v>
      </c>
      <c r="L88" s="5">
        <f>ShoeSales[[#This Row],[Quantity]]*ShoeSales[[#This Row],[Unit_cost]]</f>
        <v>546</v>
      </c>
      <c r="M88" s="5">
        <f>ShoeSales[[#This Row],[Revenue]]-ShoeSales[[#This Row],[Total_cost]]</f>
        <v>518</v>
      </c>
      <c r="N88" s="11">
        <f>ShoeSales[[#This Row],[Profit]]/ShoeSales[[#This Row],[Revenue]]</f>
        <v>0.48684210526315791</v>
      </c>
    </row>
    <row r="89" spans="1:14" ht="14.25" customHeight="1" x14ac:dyDescent="0.25">
      <c r="A89" s="8">
        <v>46067</v>
      </c>
      <c r="B89" s="14" t="s">
        <v>10</v>
      </c>
      <c r="C89" s="16" t="s">
        <v>27</v>
      </c>
      <c r="D89" s="16" t="s">
        <v>42</v>
      </c>
      <c r="E89" s="14" t="str">
        <f ca="1">PROPER(TRIM(CLEAN(ShoeSales[[#This Row],[Brand]])))</f>
        <v>Clarks</v>
      </c>
      <c r="F89" s="16" t="s">
        <v>51</v>
      </c>
      <c r="G89" s="4">
        <v>8</v>
      </c>
      <c r="H89" s="16" t="s">
        <v>41</v>
      </c>
      <c r="I89" s="5">
        <f>VLOOKUP(ShoeSales[[#This Row],[Product]],Price!$A$2:C96,2,)</f>
        <v>105</v>
      </c>
      <c r="J89" s="5">
        <f>VLOOKUP(ShoeSales[[#This Row],[Product]],Price!$A$2:C96,3,)</f>
        <v>58</v>
      </c>
      <c r="K89" s="5">
        <f>ShoeSales[[#This Row],[Quantity]]*ShoeSales[[#This Row],[Unit_price]]</f>
        <v>840</v>
      </c>
      <c r="L89" s="5">
        <f>ShoeSales[[#This Row],[Quantity]]*ShoeSales[[#This Row],[Unit_cost]]</f>
        <v>464</v>
      </c>
      <c r="M89" s="5">
        <f>ShoeSales[[#This Row],[Revenue]]-ShoeSales[[#This Row],[Total_cost]]</f>
        <v>376</v>
      </c>
      <c r="N89" s="11">
        <f>ShoeSales[[#This Row],[Profit]]/ShoeSales[[#This Row],[Revenue]]</f>
        <v>0.44761904761904764</v>
      </c>
    </row>
    <row r="90" spans="1:14" ht="14.25" customHeight="1" x14ac:dyDescent="0.25">
      <c r="A90" s="7">
        <v>46099</v>
      </c>
      <c r="B90" s="14" t="s">
        <v>8</v>
      </c>
      <c r="C90" s="15" t="s">
        <v>27</v>
      </c>
      <c r="D90" s="15" t="s">
        <v>33</v>
      </c>
      <c r="E90" s="14" t="str">
        <f ca="1">PROPER(TRIM(CLEAN(ShoeSales[[#This Row],[Brand]])))</f>
        <v>Clarks</v>
      </c>
      <c r="F90" s="15" t="s">
        <v>44</v>
      </c>
      <c r="G90" s="3">
        <v>3</v>
      </c>
      <c r="H90" s="15" t="s">
        <v>30</v>
      </c>
      <c r="I90" s="5">
        <f>VLOOKUP(ShoeSales[[#This Row],[Product]],Price!$A$2:C97,2,)</f>
        <v>76</v>
      </c>
      <c r="J90" s="5">
        <f>VLOOKUP(ShoeSales[[#This Row],[Product]],Price!$A$2:C97,3,)</f>
        <v>39</v>
      </c>
      <c r="K90" s="5">
        <f>ShoeSales[[#This Row],[Quantity]]*ShoeSales[[#This Row],[Unit_price]]</f>
        <v>228</v>
      </c>
      <c r="L90" s="5">
        <f>ShoeSales[[#This Row],[Quantity]]*ShoeSales[[#This Row],[Unit_cost]]</f>
        <v>117</v>
      </c>
      <c r="M90" s="5">
        <f>ShoeSales[[#This Row],[Revenue]]-ShoeSales[[#This Row],[Total_cost]]</f>
        <v>111</v>
      </c>
      <c r="N90" s="11">
        <f>ShoeSales[[#This Row],[Profit]]/ShoeSales[[#This Row],[Revenue]]</f>
        <v>0.48684210526315791</v>
      </c>
    </row>
    <row r="91" spans="1:14" ht="14.25" customHeight="1" x14ac:dyDescent="0.25">
      <c r="A91" s="8">
        <v>46090</v>
      </c>
      <c r="B91" s="14" t="s">
        <v>7</v>
      </c>
      <c r="C91" s="16" t="s">
        <v>37</v>
      </c>
      <c r="D91" s="16" t="s">
        <v>31</v>
      </c>
      <c r="E91" s="14" t="str">
        <f ca="1">PROPER(TRIM(CLEAN(ShoeSales[[#This Row],[Brand]])))</f>
        <v>Steve Madden</v>
      </c>
      <c r="F91" s="16" t="s">
        <v>39</v>
      </c>
      <c r="G91" s="4">
        <v>8</v>
      </c>
      <c r="H91" s="16" t="s">
        <v>32</v>
      </c>
      <c r="I91" s="5">
        <f>VLOOKUP(ShoeSales[[#This Row],[Product]],Price!$A$2:C98,2,)</f>
        <v>32</v>
      </c>
      <c r="J91" s="5">
        <f>VLOOKUP(ShoeSales[[#This Row],[Product]],Price!$A$2:C98,3,)</f>
        <v>14</v>
      </c>
      <c r="K91" s="5">
        <f>ShoeSales[[#This Row],[Quantity]]*ShoeSales[[#This Row],[Unit_price]]</f>
        <v>256</v>
      </c>
      <c r="L91" s="5">
        <f>ShoeSales[[#This Row],[Quantity]]*ShoeSales[[#This Row],[Unit_cost]]</f>
        <v>112</v>
      </c>
      <c r="M91" s="5">
        <f>ShoeSales[[#This Row],[Revenue]]-ShoeSales[[#This Row],[Total_cost]]</f>
        <v>144</v>
      </c>
      <c r="N91" s="11">
        <f>ShoeSales[[#This Row],[Profit]]/ShoeSales[[#This Row],[Revenue]]</f>
        <v>0.5625</v>
      </c>
    </row>
    <row r="92" spans="1:14" ht="14.25" customHeight="1" x14ac:dyDescent="0.25">
      <c r="A92" s="7">
        <v>46111</v>
      </c>
      <c r="B92" s="14" t="s">
        <v>15</v>
      </c>
      <c r="C92" s="15" t="s">
        <v>37</v>
      </c>
      <c r="D92" s="15" t="s">
        <v>33</v>
      </c>
      <c r="E92" s="14" t="str">
        <f ca="1">PROPER(TRIM(CLEAN(ShoeSales[[#This Row],[Brand]])))</f>
        <v>Zara</v>
      </c>
      <c r="F92" s="15" t="s">
        <v>39</v>
      </c>
      <c r="G92" s="3">
        <v>14</v>
      </c>
      <c r="H92" s="15" t="s">
        <v>30</v>
      </c>
      <c r="I92" s="5">
        <f>VLOOKUP(ShoeSales[[#This Row],[Product]],Price!$A$2:C99,2,)</f>
        <v>119</v>
      </c>
      <c r="J92" s="5">
        <f>VLOOKUP(ShoeSales[[#This Row],[Product]],Price!$A$2:C99,3,)</f>
        <v>67</v>
      </c>
      <c r="K92" s="5">
        <f>ShoeSales[[#This Row],[Quantity]]*ShoeSales[[#This Row],[Unit_price]]</f>
        <v>1666</v>
      </c>
      <c r="L92" s="5">
        <f>ShoeSales[[#This Row],[Quantity]]*ShoeSales[[#This Row],[Unit_cost]]</f>
        <v>938</v>
      </c>
      <c r="M92" s="5">
        <f>ShoeSales[[#This Row],[Revenue]]-ShoeSales[[#This Row],[Total_cost]]</f>
        <v>728</v>
      </c>
      <c r="N92" s="11">
        <f>ShoeSales[[#This Row],[Profit]]/ShoeSales[[#This Row],[Revenue]]</f>
        <v>0.43697478991596639</v>
      </c>
    </row>
    <row r="93" spans="1:14" ht="14.25" customHeight="1" x14ac:dyDescent="0.25">
      <c r="A93" s="8">
        <v>46204</v>
      </c>
      <c r="B93" s="14" t="s">
        <v>12</v>
      </c>
      <c r="C93" s="16" t="s">
        <v>27</v>
      </c>
      <c r="D93" s="16" t="s">
        <v>33</v>
      </c>
      <c r="E93" s="14" t="str">
        <f ca="1">PROPER(TRIM(CLEAN(ShoeSales[[#This Row],[Brand]])))</f>
        <v>Steve Madden</v>
      </c>
      <c r="F93" s="16" t="s">
        <v>34</v>
      </c>
      <c r="G93" s="4">
        <v>7</v>
      </c>
      <c r="H93" s="16" t="s">
        <v>45</v>
      </c>
      <c r="I93" s="5">
        <f>VLOOKUP(ShoeSales[[#This Row],[Product]],Price!$A$2:C100,2,)</f>
        <v>112</v>
      </c>
      <c r="J93" s="5">
        <f>VLOOKUP(ShoeSales[[#This Row],[Product]],Price!$A$2:C100,3,)</f>
        <v>64</v>
      </c>
      <c r="K93" s="5">
        <f>ShoeSales[[#This Row],[Quantity]]*ShoeSales[[#This Row],[Unit_price]]</f>
        <v>784</v>
      </c>
      <c r="L93" s="5">
        <f>ShoeSales[[#This Row],[Quantity]]*ShoeSales[[#This Row],[Unit_cost]]</f>
        <v>448</v>
      </c>
      <c r="M93" s="5">
        <f>ShoeSales[[#This Row],[Revenue]]-ShoeSales[[#This Row],[Total_cost]]</f>
        <v>336</v>
      </c>
      <c r="N93" s="11">
        <f>ShoeSales[[#This Row],[Profit]]/ShoeSales[[#This Row],[Revenue]]</f>
        <v>0.42857142857142855</v>
      </c>
    </row>
    <row r="94" spans="1:14" ht="14.25" customHeight="1" x14ac:dyDescent="0.25">
      <c r="A94" s="7">
        <v>46246</v>
      </c>
      <c r="B94" s="14" t="s">
        <v>6</v>
      </c>
      <c r="C94" s="15" t="s">
        <v>37</v>
      </c>
      <c r="D94" s="15" t="s">
        <v>42</v>
      </c>
      <c r="E94" s="14" t="str">
        <f ca="1">PROPER(TRIM(CLEAN(ShoeSales[[#This Row],[Brand]])))</f>
        <v>Clarks</v>
      </c>
      <c r="F94" s="15" t="s">
        <v>36</v>
      </c>
      <c r="G94" s="3">
        <v>5</v>
      </c>
      <c r="H94" s="15" t="s">
        <v>41</v>
      </c>
      <c r="I94" s="5">
        <f>VLOOKUP(ShoeSales[[#This Row],[Product]],Price!$A$2:C101,2,)</f>
        <v>54</v>
      </c>
      <c r="J94" s="5">
        <f>VLOOKUP(ShoeSales[[#This Row],[Product]],Price!$A$2:C101,3,)</f>
        <v>28</v>
      </c>
      <c r="K94" s="5">
        <f>ShoeSales[[#This Row],[Quantity]]*ShoeSales[[#This Row],[Unit_price]]</f>
        <v>270</v>
      </c>
      <c r="L94" s="5">
        <f>ShoeSales[[#This Row],[Quantity]]*ShoeSales[[#This Row],[Unit_cost]]</f>
        <v>140</v>
      </c>
      <c r="M94" s="5">
        <f>ShoeSales[[#This Row],[Revenue]]-ShoeSales[[#This Row],[Total_cost]]</f>
        <v>130</v>
      </c>
      <c r="N94" s="11">
        <f>ShoeSales[[#This Row],[Profit]]/ShoeSales[[#This Row],[Revenue]]</f>
        <v>0.48148148148148145</v>
      </c>
    </row>
    <row r="95" spans="1:14" ht="14.25" customHeight="1" x14ac:dyDescent="0.25">
      <c r="A95" s="8">
        <v>46033</v>
      </c>
      <c r="B95" s="14" t="s">
        <v>10</v>
      </c>
      <c r="C95" s="16" t="s">
        <v>27</v>
      </c>
      <c r="D95" s="16" t="s">
        <v>33</v>
      </c>
      <c r="E95" s="14" t="str">
        <f ca="1">PROPER(TRIM(CLEAN(ShoeSales[[#This Row],[Brand]])))</f>
        <v>Steve Madden</v>
      </c>
      <c r="F95" s="16" t="s">
        <v>34</v>
      </c>
      <c r="G95" s="4">
        <v>14</v>
      </c>
      <c r="H95" s="16" t="s">
        <v>41</v>
      </c>
      <c r="I95" s="5">
        <f>VLOOKUP(ShoeSales[[#This Row],[Product]],Price!$A$2:C102,2,)</f>
        <v>105</v>
      </c>
      <c r="J95" s="5">
        <f>VLOOKUP(ShoeSales[[#This Row],[Product]],Price!$A$2:C102,3,)</f>
        <v>58</v>
      </c>
      <c r="K95" s="5">
        <f>ShoeSales[[#This Row],[Quantity]]*ShoeSales[[#This Row],[Unit_price]]</f>
        <v>1470</v>
      </c>
      <c r="L95" s="5">
        <f>ShoeSales[[#This Row],[Quantity]]*ShoeSales[[#This Row],[Unit_cost]]</f>
        <v>812</v>
      </c>
      <c r="M95" s="5">
        <f>ShoeSales[[#This Row],[Revenue]]-ShoeSales[[#This Row],[Total_cost]]</f>
        <v>658</v>
      </c>
      <c r="N95" s="11">
        <f>ShoeSales[[#This Row],[Profit]]/ShoeSales[[#This Row],[Revenue]]</f>
        <v>0.44761904761904764</v>
      </c>
    </row>
    <row r="96" spans="1:14" ht="14.25" customHeight="1" x14ac:dyDescent="0.25">
      <c r="A96" s="7">
        <v>46203</v>
      </c>
      <c r="B96" s="14" t="s">
        <v>15</v>
      </c>
      <c r="C96" s="15" t="s">
        <v>52</v>
      </c>
      <c r="D96" s="15" t="s">
        <v>28</v>
      </c>
      <c r="E96" s="14" t="str">
        <f ca="1">PROPER(TRIM(CLEAN(ShoeSales[[#This Row],[Brand]])))</f>
        <v>Clarks</v>
      </c>
      <c r="F96" s="15" t="s">
        <v>40</v>
      </c>
      <c r="G96" s="3">
        <v>6</v>
      </c>
      <c r="H96" s="15" t="s">
        <v>41</v>
      </c>
      <c r="I96" s="5">
        <f>VLOOKUP(ShoeSales[[#This Row],[Product]],Price!$A$2:C103,2,)</f>
        <v>119</v>
      </c>
      <c r="J96" s="5">
        <f>VLOOKUP(ShoeSales[[#This Row],[Product]],Price!$A$2:C103,3,)</f>
        <v>67</v>
      </c>
      <c r="K96" s="5">
        <f>ShoeSales[[#This Row],[Quantity]]*ShoeSales[[#This Row],[Unit_price]]</f>
        <v>714</v>
      </c>
      <c r="L96" s="5">
        <f>ShoeSales[[#This Row],[Quantity]]*ShoeSales[[#This Row],[Unit_cost]]</f>
        <v>402</v>
      </c>
      <c r="M96" s="5">
        <f>ShoeSales[[#This Row],[Revenue]]-ShoeSales[[#This Row],[Total_cost]]</f>
        <v>312</v>
      </c>
      <c r="N96" s="11">
        <f>ShoeSales[[#This Row],[Profit]]/ShoeSales[[#This Row],[Revenue]]</f>
        <v>0.43697478991596639</v>
      </c>
    </row>
    <row r="97" spans="1:14" ht="14.25" customHeight="1" x14ac:dyDescent="0.25">
      <c r="A97" s="8">
        <v>46044</v>
      </c>
      <c r="B97" s="14" t="s">
        <v>15</v>
      </c>
      <c r="C97" s="16" t="s">
        <v>48</v>
      </c>
      <c r="D97" s="16" t="s">
        <v>28</v>
      </c>
      <c r="E97" s="14" t="str">
        <f ca="1">PROPER(TRIM(CLEAN(ShoeSales[[#This Row],[Brand]])))</f>
        <v>Nike</v>
      </c>
      <c r="F97" s="16" t="s">
        <v>34</v>
      </c>
      <c r="G97" s="4">
        <v>7</v>
      </c>
      <c r="H97" s="16" t="s">
        <v>32</v>
      </c>
      <c r="I97" s="5">
        <f>VLOOKUP(ShoeSales[[#This Row],[Product]],Price!$A$2:C104,2,)</f>
        <v>119</v>
      </c>
      <c r="J97" s="5">
        <f>VLOOKUP(ShoeSales[[#This Row],[Product]],Price!$A$2:C104,3,)</f>
        <v>67</v>
      </c>
      <c r="K97" s="5">
        <f>ShoeSales[[#This Row],[Quantity]]*ShoeSales[[#This Row],[Unit_price]]</f>
        <v>833</v>
      </c>
      <c r="L97" s="5">
        <f>ShoeSales[[#This Row],[Quantity]]*ShoeSales[[#This Row],[Unit_cost]]</f>
        <v>469</v>
      </c>
      <c r="M97" s="5">
        <f>ShoeSales[[#This Row],[Revenue]]-ShoeSales[[#This Row],[Total_cost]]</f>
        <v>364</v>
      </c>
      <c r="N97" s="11">
        <f>ShoeSales[[#This Row],[Profit]]/ShoeSales[[#This Row],[Revenue]]</f>
        <v>0.43697478991596639</v>
      </c>
    </row>
    <row r="98" spans="1:14" ht="14.25" customHeight="1" x14ac:dyDescent="0.25">
      <c r="A98" s="7">
        <v>46223</v>
      </c>
      <c r="B98" s="14" t="s">
        <v>6</v>
      </c>
      <c r="C98" s="15" t="s">
        <v>27</v>
      </c>
      <c r="D98" s="15" t="s">
        <v>33</v>
      </c>
      <c r="E98" s="14" t="str">
        <f ca="1">PROPER(TRIM(CLEAN(ShoeSales[[#This Row],[Brand]])))</f>
        <v>Clarks</v>
      </c>
      <c r="F98" s="15" t="s">
        <v>35</v>
      </c>
      <c r="G98" s="3">
        <v>9</v>
      </c>
      <c r="H98" s="15" t="s">
        <v>30</v>
      </c>
      <c r="I98" s="5">
        <f>VLOOKUP(ShoeSales[[#This Row],[Product]],Price!$A$2:C105,2,)</f>
        <v>54</v>
      </c>
      <c r="J98" s="5">
        <f>VLOOKUP(ShoeSales[[#This Row],[Product]],Price!$A$2:C105,3,)</f>
        <v>28</v>
      </c>
      <c r="K98" s="5">
        <f>ShoeSales[[#This Row],[Quantity]]*ShoeSales[[#This Row],[Unit_price]]</f>
        <v>486</v>
      </c>
      <c r="L98" s="5">
        <f>ShoeSales[[#This Row],[Quantity]]*ShoeSales[[#This Row],[Unit_cost]]</f>
        <v>252</v>
      </c>
      <c r="M98" s="5">
        <f>ShoeSales[[#This Row],[Revenue]]-ShoeSales[[#This Row],[Total_cost]]</f>
        <v>234</v>
      </c>
      <c r="N98" s="11">
        <f>ShoeSales[[#This Row],[Profit]]/ShoeSales[[#This Row],[Revenue]]</f>
        <v>0.48148148148148145</v>
      </c>
    </row>
    <row r="99" spans="1:14" ht="14.25" customHeight="1" x14ac:dyDescent="0.25">
      <c r="A99" s="8">
        <v>46118</v>
      </c>
      <c r="B99" s="14" t="s">
        <v>5</v>
      </c>
      <c r="C99" s="16" t="s">
        <v>27</v>
      </c>
      <c r="D99" s="16" t="s">
        <v>38</v>
      </c>
      <c r="E99" s="14" t="str">
        <f ca="1">PROPER(TRIM(CLEAN(ShoeSales[[#This Row],[Brand]])))</f>
        <v>Steve Madden</v>
      </c>
      <c r="F99" s="16" t="s">
        <v>39</v>
      </c>
      <c r="G99" s="4">
        <v>10</v>
      </c>
      <c r="H99" s="16" t="s">
        <v>32</v>
      </c>
      <c r="I99" s="5">
        <f>VLOOKUP(ShoeSales[[#This Row],[Product]],Price!$A$2:C106,2,)</f>
        <v>89</v>
      </c>
      <c r="J99" s="5">
        <f>VLOOKUP(ShoeSales[[#This Row],[Product]],Price!$A$2:C106,3,)</f>
        <v>47</v>
      </c>
      <c r="K99" s="5">
        <f>ShoeSales[[#This Row],[Quantity]]*ShoeSales[[#This Row],[Unit_price]]</f>
        <v>890</v>
      </c>
      <c r="L99" s="5">
        <f>ShoeSales[[#This Row],[Quantity]]*ShoeSales[[#This Row],[Unit_cost]]</f>
        <v>470</v>
      </c>
      <c r="M99" s="5">
        <f>ShoeSales[[#This Row],[Revenue]]-ShoeSales[[#This Row],[Total_cost]]</f>
        <v>420</v>
      </c>
      <c r="N99" s="11">
        <f>ShoeSales[[#This Row],[Profit]]/ShoeSales[[#This Row],[Revenue]]</f>
        <v>0.47191011235955055</v>
      </c>
    </row>
    <row r="100" spans="1:14" ht="14.25" customHeight="1" x14ac:dyDescent="0.25">
      <c r="A100" s="7">
        <v>46034</v>
      </c>
      <c r="B100" s="14" t="s">
        <v>12</v>
      </c>
      <c r="C100" s="15" t="s">
        <v>48</v>
      </c>
      <c r="D100" s="15" t="s">
        <v>28</v>
      </c>
      <c r="E100" s="14" t="str">
        <f ca="1">PROPER(TRIM(CLEAN(ShoeSales[[#This Row],[Brand]])))</f>
        <v>Nike</v>
      </c>
      <c r="F100" s="15" t="s">
        <v>50</v>
      </c>
      <c r="G100" s="3">
        <v>6</v>
      </c>
      <c r="H100" s="15" t="s">
        <v>32</v>
      </c>
      <c r="I100" s="5">
        <f>VLOOKUP(ShoeSales[[#This Row],[Product]],Price!$A$2:C107,2,)</f>
        <v>112</v>
      </c>
      <c r="J100" s="5">
        <f>VLOOKUP(ShoeSales[[#This Row],[Product]],Price!$A$2:C107,3,)</f>
        <v>64</v>
      </c>
      <c r="K100" s="5">
        <f>ShoeSales[[#This Row],[Quantity]]*ShoeSales[[#This Row],[Unit_price]]</f>
        <v>672</v>
      </c>
      <c r="L100" s="5">
        <f>ShoeSales[[#This Row],[Quantity]]*ShoeSales[[#This Row],[Unit_cost]]</f>
        <v>384</v>
      </c>
      <c r="M100" s="5">
        <f>ShoeSales[[#This Row],[Revenue]]-ShoeSales[[#This Row],[Total_cost]]</f>
        <v>288</v>
      </c>
      <c r="N100" s="11">
        <f>ShoeSales[[#This Row],[Profit]]/ShoeSales[[#This Row],[Revenue]]</f>
        <v>0.42857142857142855</v>
      </c>
    </row>
    <row r="101" spans="1:14" ht="14.25" customHeight="1" x14ac:dyDescent="0.25">
      <c r="A101" s="8">
        <v>46197</v>
      </c>
      <c r="B101" s="14" t="s">
        <v>10</v>
      </c>
      <c r="C101" s="16" t="s">
        <v>52</v>
      </c>
      <c r="D101" s="16" t="s">
        <v>42</v>
      </c>
      <c r="E101" s="14" t="str">
        <f ca="1">PROPER(TRIM(CLEAN(ShoeSales[[#This Row],[Brand]])))</f>
        <v>Clarks</v>
      </c>
      <c r="F101" s="16" t="s">
        <v>36</v>
      </c>
      <c r="G101" s="4">
        <v>12</v>
      </c>
      <c r="H101" s="16" t="s">
        <v>32</v>
      </c>
      <c r="I101" s="5">
        <f>VLOOKUP(ShoeSales[[#This Row],[Product]],Price!$A$2:C108,2,)</f>
        <v>105</v>
      </c>
      <c r="J101" s="5">
        <f>VLOOKUP(ShoeSales[[#This Row],[Product]],Price!$A$2:C108,3,)</f>
        <v>58</v>
      </c>
      <c r="K101" s="5">
        <f>ShoeSales[[#This Row],[Quantity]]*ShoeSales[[#This Row],[Unit_price]]</f>
        <v>1260</v>
      </c>
      <c r="L101" s="5">
        <f>ShoeSales[[#This Row],[Quantity]]*ShoeSales[[#This Row],[Unit_cost]]</f>
        <v>696</v>
      </c>
      <c r="M101" s="5">
        <f>ShoeSales[[#This Row],[Revenue]]-ShoeSales[[#This Row],[Total_cost]]</f>
        <v>564</v>
      </c>
      <c r="N101" s="11">
        <f>ShoeSales[[#This Row],[Profit]]/ShoeSales[[#This Row],[Revenue]]</f>
        <v>0.44761904761904764</v>
      </c>
    </row>
    <row r="102" spans="1:14" ht="14.25" customHeight="1" x14ac:dyDescent="0.25">
      <c r="A102" s="7">
        <v>46101</v>
      </c>
      <c r="B102" s="14" t="s">
        <v>8</v>
      </c>
      <c r="C102" s="15" t="s">
        <v>48</v>
      </c>
      <c r="D102" s="15" t="s">
        <v>42</v>
      </c>
      <c r="E102" s="14" t="str">
        <f ca="1">PROPER(TRIM(CLEAN(ShoeSales[[#This Row],[Brand]])))</f>
        <v>Zara</v>
      </c>
      <c r="F102" s="15" t="s">
        <v>46</v>
      </c>
      <c r="G102" s="3">
        <v>4</v>
      </c>
      <c r="H102" s="15" t="s">
        <v>30</v>
      </c>
      <c r="I102" s="5">
        <f>VLOOKUP(ShoeSales[[#This Row],[Product]],Price!$A$2:C109,2,)</f>
        <v>76</v>
      </c>
      <c r="J102" s="5">
        <f>VLOOKUP(ShoeSales[[#This Row],[Product]],Price!$A$2:C109,3,)</f>
        <v>39</v>
      </c>
      <c r="K102" s="5">
        <f>ShoeSales[[#This Row],[Quantity]]*ShoeSales[[#This Row],[Unit_price]]</f>
        <v>304</v>
      </c>
      <c r="L102" s="5">
        <f>ShoeSales[[#This Row],[Quantity]]*ShoeSales[[#This Row],[Unit_cost]]</f>
        <v>156</v>
      </c>
      <c r="M102" s="5">
        <f>ShoeSales[[#This Row],[Revenue]]-ShoeSales[[#This Row],[Total_cost]]</f>
        <v>148</v>
      </c>
      <c r="N102" s="11">
        <f>ShoeSales[[#This Row],[Profit]]/ShoeSales[[#This Row],[Revenue]]</f>
        <v>0.48684210526315791</v>
      </c>
    </row>
    <row r="103" spans="1:14" ht="14.25" customHeight="1" x14ac:dyDescent="0.25">
      <c r="A103" s="8">
        <v>46216</v>
      </c>
      <c r="B103" s="14" t="s">
        <v>5</v>
      </c>
      <c r="C103" s="16" t="s">
        <v>27</v>
      </c>
      <c r="D103" s="16" t="s">
        <v>31</v>
      </c>
      <c r="E103" s="14" t="str">
        <f ca="1">PROPER(TRIM(CLEAN(ShoeSales[[#This Row],[Brand]])))</f>
        <v>Zara</v>
      </c>
      <c r="F103" s="16" t="s">
        <v>39</v>
      </c>
      <c r="G103" s="4">
        <v>8</v>
      </c>
      <c r="H103" s="16" t="s">
        <v>45</v>
      </c>
      <c r="I103" s="5">
        <f>VLOOKUP(ShoeSales[[#This Row],[Product]],Price!$A$2:C110,2,)</f>
        <v>89</v>
      </c>
      <c r="J103" s="5">
        <f>VLOOKUP(ShoeSales[[#This Row],[Product]],Price!$A$2:C110,3,)</f>
        <v>47</v>
      </c>
      <c r="K103" s="5">
        <f>ShoeSales[[#This Row],[Quantity]]*ShoeSales[[#This Row],[Unit_price]]</f>
        <v>712</v>
      </c>
      <c r="L103" s="5">
        <f>ShoeSales[[#This Row],[Quantity]]*ShoeSales[[#This Row],[Unit_cost]]</f>
        <v>376</v>
      </c>
      <c r="M103" s="5">
        <f>ShoeSales[[#This Row],[Revenue]]-ShoeSales[[#This Row],[Total_cost]]</f>
        <v>336</v>
      </c>
      <c r="N103" s="11">
        <f>ShoeSales[[#This Row],[Profit]]/ShoeSales[[#This Row],[Revenue]]</f>
        <v>0.47191011235955055</v>
      </c>
    </row>
    <row r="104" spans="1:14" ht="14.25" customHeight="1" x14ac:dyDescent="0.25">
      <c r="A104" s="7">
        <v>46040</v>
      </c>
      <c r="B104" s="14" t="s">
        <v>7</v>
      </c>
      <c r="C104" s="15" t="s">
        <v>27</v>
      </c>
      <c r="D104" s="15" t="s">
        <v>38</v>
      </c>
      <c r="E104" s="14" t="str">
        <f ca="1">PROPER(TRIM(CLEAN(ShoeSales[[#This Row],[Brand]])))</f>
        <v>Clarks</v>
      </c>
      <c r="F104" s="15" t="s">
        <v>29</v>
      </c>
      <c r="G104" s="3">
        <v>8</v>
      </c>
      <c r="H104" s="15" t="s">
        <v>41</v>
      </c>
      <c r="I104" s="5">
        <f>VLOOKUP(ShoeSales[[#This Row],[Product]],Price!$A$2:C111,2,)</f>
        <v>32</v>
      </c>
      <c r="J104" s="5">
        <f>VLOOKUP(ShoeSales[[#This Row],[Product]],Price!$A$2:C111,3,)</f>
        <v>14</v>
      </c>
      <c r="K104" s="5">
        <f>ShoeSales[[#This Row],[Quantity]]*ShoeSales[[#This Row],[Unit_price]]</f>
        <v>256</v>
      </c>
      <c r="L104" s="5">
        <f>ShoeSales[[#This Row],[Quantity]]*ShoeSales[[#This Row],[Unit_cost]]</f>
        <v>112</v>
      </c>
      <c r="M104" s="5">
        <f>ShoeSales[[#This Row],[Revenue]]-ShoeSales[[#This Row],[Total_cost]]</f>
        <v>144</v>
      </c>
      <c r="N104" s="11">
        <f>ShoeSales[[#This Row],[Profit]]/ShoeSales[[#This Row],[Revenue]]</f>
        <v>0.5625</v>
      </c>
    </row>
    <row r="105" spans="1:14" ht="14.25" customHeight="1" x14ac:dyDescent="0.25">
      <c r="A105" s="8">
        <v>46187</v>
      </c>
      <c r="B105" s="14" t="s">
        <v>15</v>
      </c>
      <c r="C105" s="16" t="s">
        <v>37</v>
      </c>
      <c r="D105" s="16" t="s">
        <v>42</v>
      </c>
      <c r="E105" s="14" t="str">
        <f ca="1">PROPER(TRIM(CLEAN(ShoeSales[[#This Row],[Brand]])))</f>
        <v>Zara</v>
      </c>
      <c r="F105" s="16" t="s">
        <v>36</v>
      </c>
      <c r="G105" s="4">
        <v>6</v>
      </c>
      <c r="H105" s="16" t="s">
        <v>32</v>
      </c>
      <c r="I105" s="5">
        <f>VLOOKUP(ShoeSales[[#This Row],[Product]],Price!$A$2:C112,2,)</f>
        <v>119</v>
      </c>
      <c r="J105" s="5">
        <f>VLOOKUP(ShoeSales[[#This Row],[Product]],Price!$A$2:C112,3,)</f>
        <v>67</v>
      </c>
      <c r="K105" s="5">
        <f>ShoeSales[[#This Row],[Quantity]]*ShoeSales[[#This Row],[Unit_price]]</f>
        <v>714</v>
      </c>
      <c r="L105" s="5">
        <f>ShoeSales[[#This Row],[Quantity]]*ShoeSales[[#This Row],[Unit_cost]]</f>
        <v>402</v>
      </c>
      <c r="M105" s="5">
        <f>ShoeSales[[#This Row],[Revenue]]-ShoeSales[[#This Row],[Total_cost]]</f>
        <v>312</v>
      </c>
      <c r="N105" s="11">
        <f>ShoeSales[[#This Row],[Profit]]/ShoeSales[[#This Row],[Revenue]]</f>
        <v>0.43697478991596639</v>
      </c>
    </row>
    <row r="106" spans="1:14" ht="14.25" customHeight="1" x14ac:dyDescent="0.25">
      <c r="A106" s="7">
        <v>46185</v>
      </c>
      <c r="B106" s="14" t="s">
        <v>5</v>
      </c>
      <c r="C106" s="15" t="s">
        <v>52</v>
      </c>
      <c r="D106" s="15" t="s">
        <v>31</v>
      </c>
      <c r="E106" s="14" t="str">
        <f ca="1">PROPER(TRIM(CLEAN(ShoeSales[[#This Row],[Brand]])))</f>
        <v>Timberland</v>
      </c>
      <c r="F106" s="15" t="s">
        <v>29</v>
      </c>
      <c r="G106" s="3">
        <v>9</v>
      </c>
      <c r="H106" s="15" t="s">
        <v>32</v>
      </c>
      <c r="I106" s="5">
        <f>VLOOKUP(ShoeSales[[#This Row],[Product]],Price!$A$2:C113,2,)</f>
        <v>89</v>
      </c>
      <c r="J106" s="5">
        <f>VLOOKUP(ShoeSales[[#This Row],[Product]],Price!$A$2:C113,3,)</f>
        <v>47</v>
      </c>
      <c r="K106" s="5">
        <f>ShoeSales[[#This Row],[Quantity]]*ShoeSales[[#This Row],[Unit_price]]</f>
        <v>801</v>
      </c>
      <c r="L106" s="5">
        <f>ShoeSales[[#This Row],[Quantity]]*ShoeSales[[#This Row],[Unit_cost]]</f>
        <v>423</v>
      </c>
      <c r="M106" s="5">
        <f>ShoeSales[[#This Row],[Revenue]]-ShoeSales[[#This Row],[Total_cost]]</f>
        <v>378</v>
      </c>
      <c r="N106" s="11">
        <f>ShoeSales[[#This Row],[Profit]]/ShoeSales[[#This Row],[Revenue]]</f>
        <v>0.47191011235955055</v>
      </c>
    </row>
    <row r="107" spans="1:14" ht="14.25" customHeight="1" x14ac:dyDescent="0.25">
      <c r="A107" s="8">
        <v>46240</v>
      </c>
      <c r="B107" s="14" t="s">
        <v>8</v>
      </c>
      <c r="C107" s="16" t="s">
        <v>48</v>
      </c>
      <c r="D107" s="16" t="s">
        <v>42</v>
      </c>
      <c r="E107" s="14" t="str">
        <f ca="1">PROPER(TRIM(CLEAN(ShoeSales[[#This Row],[Brand]])))</f>
        <v>Zara</v>
      </c>
      <c r="F107" s="16" t="s">
        <v>36</v>
      </c>
      <c r="G107" s="4">
        <v>2</v>
      </c>
      <c r="H107" s="16" t="s">
        <v>45</v>
      </c>
      <c r="I107" s="5">
        <f>VLOOKUP(ShoeSales[[#This Row],[Product]],Price!$A$2:C114,2,)</f>
        <v>76</v>
      </c>
      <c r="J107" s="5">
        <f>VLOOKUP(ShoeSales[[#This Row],[Product]],Price!$A$2:C114,3,)</f>
        <v>39</v>
      </c>
      <c r="K107" s="5">
        <f>ShoeSales[[#This Row],[Quantity]]*ShoeSales[[#This Row],[Unit_price]]</f>
        <v>152</v>
      </c>
      <c r="L107" s="5">
        <f>ShoeSales[[#This Row],[Quantity]]*ShoeSales[[#This Row],[Unit_cost]]</f>
        <v>78</v>
      </c>
      <c r="M107" s="5">
        <f>ShoeSales[[#This Row],[Revenue]]-ShoeSales[[#This Row],[Total_cost]]</f>
        <v>74</v>
      </c>
      <c r="N107" s="11">
        <f>ShoeSales[[#This Row],[Profit]]/ShoeSales[[#This Row],[Revenue]]</f>
        <v>0.48684210526315791</v>
      </c>
    </row>
    <row r="108" spans="1:14" ht="14.25" customHeight="1" x14ac:dyDescent="0.25">
      <c r="A108" s="7">
        <v>46040</v>
      </c>
      <c r="B108" s="14" t="s">
        <v>12</v>
      </c>
      <c r="C108" s="15" t="s">
        <v>27</v>
      </c>
      <c r="D108" s="15" t="s">
        <v>42</v>
      </c>
      <c r="E108" s="14" t="str">
        <f ca="1">PROPER(TRIM(CLEAN(ShoeSales[[#This Row],[Brand]])))</f>
        <v>Zara</v>
      </c>
      <c r="F108" s="15" t="s">
        <v>43</v>
      </c>
      <c r="G108" s="3">
        <v>4</v>
      </c>
      <c r="H108" s="15" t="s">
        <v>41</v>
      </c>
      <c r="I108" s="5">
        <f>VLOOKUP(ShoeSales[[#This Row],[Product]],Price!$A$2:C115,2,)</f>
        <v>112</v>
      </c>
      <c r="J108" s="5">
        <f>VLOOKUP(ShoeSales[[#This Row],[Product]],Price!$A$2:C115,3,)</f>
        <v>64</v>
      </c>
      <c r="K108" s="5">
        <f>ShoeSales[[#This Row],[Quantity]]*ShoeSales[[#This Row],[Unit_price]]</f>
        <v>448</v>
      </c>
      <c r="L108" s="5">
        <f>ShoeSales[[#This Row],[Quantity]]*ShoeSales[[#This Row],[Unit_cost]]</f>
        <v>256</v>
      </c>
      <c r="M108" s="5">
        <f>ShoeSales[[#This Row],[Revenue]]-ShoeSales[[#This Row],[Total_cost]]</f>
        <v>192</v>
      </c>
      <c r="N108" s="11">
        <f>ShoeSales[[#This Row],[Profit]]/ShoeSales[[#This Row],[Revenue]]</f>
        <v>0.42857142857142855</v>
      </c>
    </row>
    <row r="109" spans="1:14" ht="14.25" customHeight="1" x14ac:dyDescent="0.25">
      <c r="A109" s="8">
        <v>46144</v>
      </c>
      <c r="B109" s="14" t="s">
        <v>5</v>
      </c>
      <c r="C109" s="16" t="s">
        <v>27</v>
      </c>
      <c r="D109" s="16" t="s">
        <v>28</v>
      </c>
      <c r="E109" s="14" t="str">
        <f ca="1">PROPER(TRIM(CLEAN(ShoeSales[[#This Row],[Brand]])))</f>
        <v>Zara</v>
      </c>
      <c r="F109" s="16" t="s">
        <v>36</v>
      </c>
      <c r="G109" s="4">
        <v>15</v>
      </c>
      <c r="H109" s="16" t="s">
        <v>41</v>
      </c>
      <c r="I109" s="5">
        <f>VLOOKUP(ShoeSales[[#This Row],[Product]],Price!$A$2:C116,2,)</f>
        <v>89</v>
      </c>
      <c r="J109" s="5">
        <f>VLOOKUP(ShoeSales[[#This Row],[Product]],Price!$A$2:C116,3,)</f>
        <v>47</v>
      </c>
      <c r="K109" s="5">
        <f>ShoeSales[[#This Row],[Quantity]]*ShoeSales[[#This Row],[Unit_price]]</f>
        <v>1335</v>
      </c>
      <c r="L109" s="5">
        <f>ShoeSales[[#This Row],[Quantity]]*ShoeSales[[#This Row],[Unit_cost]]</f>
        <v>705</v>
      </c>
      <c r="M109" s="5">
        <f>ShoeSales[[#This Row],[Revenue]]-ShoeSales[[#This Row],[Total_cost]]</f>
        <v>630</v>
      </c>
      <c r="N109" s="11">
        <f>ShoeSales[[#This Row],[Profit]]/ShoeSales[[#This Row],[Revenue]]</f>
        <v>0.47191011235955055</v>
      </c>
    </row>
    <row r="110" spans="1:14" ht="14.25" customHeight="1" x14ac:dyDescent="0.25">
      <c r="A110" s="7">
        <v>46130</v>
      </c>
      <c r="B110" s="14" t="s">
        <v>8</v>
      </c>
      <c r="C110" s="15" t="s">
        <v>37</v>
      </c>
      <c r="D110" s="15" t="s">
        <v>28</v>
      </c>
      <c r="E110" s="14" t="str">
        <f ca="1">PROPER(TRIM(CLEAN(ShoeSales[[#This Row],[Brand]])))</f>
        <v>Zara</v>
      </c>
      <c r="F110" s="15" t="s">
        <v>40</v>
      </c>
      <c r="G110" s="3">
        <v>15</v>
      </c>
      <c r="H110" s="15" t="s">
        <v>30</v>
      </c>
      <c r="I110" s="5">
        <f>VLOOKUP(ShoeSales[[#This Row],[Product]],Price!$A$2:C117,2,)</f>
        <v>76</v>
      </c>
      <c r="J110" s="5">
        <f>VLOOKUP(ShoeSales[[#This Row],[Product]],Price!$A$2:C117,3,)</f>
        <v>39</v>
      </c>
      <c r="K110" s="5">
        <f>ShoeSales[[#This Row],[Quantity]]*ShoeSales[[#This Row],[Unit_price]]</f>
        <v>1140</v>
      </c>
      <c r="L110" s="5">
        <f>ShoeSales[[#This Row],[Quantity]]*ShoeSales[[#This Row],[Unit_cost]]</f>
        <v>585</v>
      </c>
      <c r="M110" s="5">
        <f>ShoeSales[[#This Row],[Revenue]]-ShoeSales[[#This Row],[Total_cost]]</f>
        <v>555</v>
      </c>
      <c r="N110" s="11">
        <f>ShoeSales[[#This Row],[Profit]]/ShoeSales[[#This Row],[Revenue]]</f>
        <v>0.48684210526315791</v>
      </c>
    </row>
    <row r="111" spans="1:14" ht="14.25" customHeight="1" x14ac:dyDescent="0.25">
      <c r="A111" s="8">
        <v>46074</v>
      </c>
      <c r="B111" s="14" t="s">
        <v>7</v>
      </c>
      <c r="C111" s="16" t="s">
        <v>27</v>
      </c>
      <c r="D111" s="16" t="s">
        <v>33</v>
      </c>
      <c r="E111" s="14" t="str">
        <f ca="1">PROPER(TRIM(CLEAN(ShoeSales[[#This Row],[Brand]])))</f>
        <v>Clarks</v>
      </c>
      <c r="F111" s="16" t="s">
        <v>49</v>
      </c>
      <c r="G111" s="4">
        <v>8</v>
      </c>
      <c r="H111" s="16" t="s">
        <v>32</v>
      </c>
      <c r="I111" s="5">
        <f>VLOOKUP(ShoeSales[[#This Row],[Product]],Price!$A$2:C118,2,)</f>
        <v>32</v>
      </c>
      <c r="J111" s="5">
        <f>VLOOKUP(ShoeSales[[#This Row],[Product]],Price!$A$2:C118,3,)</f>
        <v>14</v>
      </c>
      <c r="K111" s="5">
        <f>ShoeSales[[#This Row],[Quantity]]*ShoeSales[[#This Row],[Unit_price]]</f>
        <v>256</v>
      </c>
      <c r="L111" s="5">
        <f>ShoeSales[[#This Row],[Quantity]]*ShoeSales[[#This Row],[Unit_cost]]</f>
        <v>112</v>
      </c>
      <c r="M111" s="5">
        <f>ShoeSales[[#This Row],[Revenue]]-ShoeSales[[#This Row],[Total_cost]]</f>
        <v>144</v>
      </c>
      <c r="N111" s="11">
        <f>ShoeSales[[#This Row],[Profit]]/ShoeSales[[#This Row],[Revenue]]</f>
        <v>0.5625</v>
      </c>
    </row>
    <row r="112" spans="1:14" ht="14.25" customHeight="1" x14ac:dyDescent="0.25">
      <c r="A112" s="7">
        <v>46193</v>
      </c>
      <c r="B112" s="14" t="s">
        <v>5</v>
      </c>
      <c r="C112" s="15" t="s">
        <v>48</v>
      </c>
      <c r="D112" s="15" t="s">
        <v>42</v>
      </c>
      <c r="E112" s="14" t="str">
        <f ca="1">PROPER(TRIM(CLEAN(ShoeSales[[#This Row],[Brand]])))</f>
        <v>Nike</v>
      </c>
      <c r="F112" s="15" t="s">
        <v>36</v>
      </c>
      <c r="G112" s="3">
        <v>7</v>
      </c>
      <c r="H112" s="15" t="s">
        <v>32</v>
      </c>
      <c r="I112" s="5">
        <f>VLOOKUP(ShoeSales[[#This Row],[Product]],Price!$A$2:C119,2,)</f>
        <v>89</v>
      </c>
      <c r="J112" s="5">
        <f>VLOOKUP(ShoeSales[[#This Row],[Product]],Price!$A$2:C119,3,)</f>
        <v>47</v>
      </c>
      <c r="K112" s="5">
        <f>ShoeSales[[#This Row],[Quantity]]*ShoeSales[[#This Row],[Unit_price]]</f>
        <v>623</v>
      </c>
      <c r="L112" s="5">
        <f>ShoeSales[[#This Row],[Quantity]]*ShoeSales[[#This Row],[Unit_cost]]</f>
        <v>329</v>
      </c>
      <c r="M112" s="5">
        <f>ShoeSales[[#This Row],[Revenue]]-ShoeSales[[#This Row],[Total_cost]]</f>
        <v>294</v>
      </c>
      <c r="N112" s="11">
        <f>ShoeSales[[#This Row],[Profit]]/ShoeSales[[#This Row],[Revenue]]</f>
        <v>0.47191011235955055</v>
      </c>
    </row>
    <row r="113" spans="1:14" ht="14.25" customHeight="1" x14ac:dyDescent="0.25">
      <c r="A113" s="8">
        <v>46137</v>
      </c>
      <c r="B113" s="14" t="s">
        <v>15</v>
      </c>
      <c r="C113" s="16" t="s">
        <v>48</v>
      </c>
      <c r="D113" s="16" t="s">
        <v>28</v>
      </c>
      <c r="E113" s="14" t="str">
        <f ca="1">PROPER(TRIM(CLEAN(ShoeSales[[#This Row],[Brand]])))</f>
        <v>Clarks</v>
      </c>
      <c r="F113" s="16" t="s">
        <v>44</v>
      </c>
      <c r="G113" s="4">
        <v>8</v>
      </c>
      <c r="H113" s="16" t="s">
        <v>30</v>
      </c>
      <c r="I113" s="5">
        <f>VLOOKUP(ShoeSales[[#This Row],[Product]],Price!$A$2:C120,2,)</f>
        <v>119</v>
      </c>
      <c r="J113" s="5">
        <f>VLOOKUP(ShoeSales[[#This Row],[Product]],Price!$A$2:C120,3,)</f>
        <v>67</v>
      </c>
      <c r="K113" s="5">
        <f>ShoeSales[[#This Row],[Quantity]]*ShoeSales[[#This Row],[Unit_price]]</f>
        <v>952</v>
      </c>
      <c r="L113" s="5">
        <f>ShoeSales[[#This Row],[Quantity]]*ShoeSales[[#This Row],[Unit_cost]]</f>
        <v>536</v>
      </c>
      <c r="M113" s="5">
        <f>ShoeSales[[#This Row],[Revenue]]-ShoeSales[[#This Row],[Total_cost]]</f>
        <v>416</v>
      </c>
      <c r="N113" s="11">
        <f>ShoeSales[[#This Row],[Profit]]/ShoeSales[[#This Row],[Revenue]]</f>
        <v>0.43697478991596639</v>
      </c>
    </row>
    <row r="114" spans="1:14" ht="14.25" customHeight="1" x14ac:dyDescent="0.25">
      <c r="A114" s="7">
        <v>46172</v>
      </c>
      <c r="B114" s="14" t="s">
        <v>5</v>
      </c>
      <c r="C114" s="15" t="s">
        <v>27</v>
      </c>
      <c r="D114" s="15" t="s">
        <v>28</v>
      </c>
      <c r="E114" s="14" t="str">
        <f ca="1">PROPER(TRIM(CLEAN(ShoeSales[[#This Row],[Brand]])))</f>
        <v>Steve Madden</v>
      </c>
      <c r="F114" s="15" t="s">
        <v>39</v>
      </c>
      <c r="G114" s="3">
        <v>13</v>
      </c>
      <c r="H114" s="15" t="s">
        <v>41</v>
      </c>
      <c r="I114" s="5">
        <f>VLOOKUP(ShoeSales[[#This Row],[Product]],Price!$A$2:C121,2,)</f>
        <v>89</v>
      </c>
      <c r="J114" s="5">
        <f>VLOOKUP(ShoeSales[[#This Row],[Product]],Price!$A$2:C121,3,)</f>
        <v>47</v>
      </c>
      <c r="K114" s="5">
        <f>ShoeSales[[#This Row],[Quantity]]*ShoeSales[[#This Row],[Unit_price]]</f>
        <v>1157</v>
      </c>
      <c r="L114" s="5">
        <f>ShoeSales[[#This Row],[Quantity]]*ShoeSales[[#This Row],[Unit_cost]]</f>
        <v>611</v>
      </c>
      <c r="M114" s="5">
        <f>ShoeSales[[#This Row],[Revenue]]-ShoeSales[[#This Row],[Total_cost]]</f>
        <v>546</v>
      </c>
      <c r="N114" s="11">
        <f>ShoeSales[[#This Row],[Profit]]/ShoeSales[[#This Row],[Revenue]]</f>
        <v>0.47191011235955055</v>
      </c>
    </row>
    <row r="115" spans="1:14" ht="14.25" customHeight="1" x14ac:dyDescent="0.25">
      <c r="A115" s="8">
        <v>46081</v>
      </c>
      <c r="B115" s="14" t="s">
        <v>10</v>
      </c>
      <c r="C115" s="16" t="s">
        <v>27</v>
      </c>
      <c r="D115" s="16" t="s">
        <v>33</v>
      </c>
      <c r="E115" s="14" t="str">
        <f ca="1">PROPER(TRIM(CLEAN(ShoeSales[[#This Row],[Brand]])))</f>
        <v>Nike</v>
      </c>
      <c r="F115" s="16" t="s">
        <v>36</v>
      </c>
      <c r="G115" s="4">
        <v>14</v>
      </c>
      <c r="H115" s="16" t="s">
        <v>30</v>
      </c>
      <c r="I115" s="5">
        <f>VLOOKUP(ShoeSales[[#This Row],[Product]],Price!$A$2:C122,2,)</f>
        <v>105</v>
      </c>
      <c r="J115" s="5">
        <f>VLOOKUP(ShoeSales[[#This Row],[Product]],Price!$A$2:C122,3,)</f>
        <v>58</v>
      </c>
      <c r="K115" s="5">
        <f>ShoeSales[[#This Row],[Quantity]]*ShoeSales[[#This Row],[Unit_price]]</f>
        <v>1470</v>
      </c>
      <c r="L115" s="5">
        <f>ShoeSales[[#This Row],[Quantity]]*ShoeSales[[#This Row],[Unit_cost]]</f>
        <v>812</v>
      </c>
      <c r="M115" s="5">
        <f>ShoeSales[[#This Row],[Revenue]]-ShoeSales[[#This Row],[Total_cost]]</f>
        <v>658</v>
      </c>
      <c r="N115" s="11">
        <f>ShoeSales[[#This Row],[Profit]]/ShoeSales[[#This Row],[Revenue]]</f>
        <v>0.44761904761904764</v>
      </c>
    </row>
    <row r="116" spans="1:14" ht="14.25" customHeight="1" x14ac:dyDescent="0.25">
      <c r="A116" s="7">
        <v>46154</v>
      </c>
      <c r="B116" s="14" t="s">
        <v>5</v>
      </c>
      <c r="C116" s="15" t="s">
        <v>27</v>
      </c>
      <c r="D116" s="15" t="s">
        <v>33</v>
      </c>
      <c r="E116" s="14" t="str">
        <f ca="1">PROPER(TRIM(CLEAN(ShoeSales[[#This Row],[Brand]])))</f>
        <v>Clarks</v>
      </c>
      <c r="F116" s="15" t="s">
        <v>53</v>
      </c>
      <c r="G116" s="3">
        <v>12</v>
      </c>
      <c r="H116" s="15" t="s">
        <v>41</v>
      </c>
      <c r="I116" s="5">
        <f>VLOOKUP(ShoeSales[[#This Row],[Product]],Price!$A$2:C123,2,)</f>
        <v>89</v>
      </c>
      <c r="J116" s="5">
        <f>VLOOKUP(ShoeSales[[#This Row],[Product]],Price!$A$2:C123,3,)</f>
        <v>47</v>
      </c>
      <c r="K116" s="5">
        <f>ShoeSales[[#This Row],[Quantity]]*ShoeSales[[#This Row],[Unit_price]]</f>
        <v>1068</v>
      </c>
      <c r="L116" s="5">
        <f>ShoeSales[[#This Row],[Quantity]]*ShoeSales[[#This Row],[Unit_cost]]</f>
        <v>564</v>
      </c>
      <c r="M116" s="5">
        <f>ShoeSales[[#This Row],[Revenue]]-ShoeSales[[#This Row],[Total_cost]]</f>
        <v>504</v>
      </c>
      <c r="N116" s="11">
        <f>ShoeSales[[#This Row],[Profit]]/ShoeSales[[#This Row],[Revenue]]</f>
        <v>0.47191011235955055</v>
      </c>
    </row>
    <row r="117" spans="1:14" ht="14.25" customHeight="1" x14ac:dyDescent="0.25">
      <c r="A117" s="8">
        <v>46075</v>
      </c>
      <c r="B117" s="14" t="s">
        <v>9</v>
      </c>
      <c r="C117" s="16" t="s">
        <v>52</v>
      </c>
      <c r="D117" s="16" t="s">
        <v>33</v>
      </c>
      <c r="E117" s="14" t="str">
        <f ca="1">PROPER(TRIM(CLEAN(ShoeSales[[#This Row],[Brand]])))</f>
        <v>Clarks</v>
      </c>
      <c r="F117" s="16" t="s">
        <v>46</v>
      </c>
      <c r="G117" s="4">
        <v>10</v>
      </c>
      <c r="H117" s="16" t="s">
        <v>32</v>
      </c>
      <c r="I117" s="5">
        <f>VLOOKUP(ShoeSales[[#This Row],[Product]],Price!$A$2:C124,2,)</f>
        <v>128</v>
      </c>
      <c r="J117" s="5">
        <f>VLOOKUP(ShoeSales[[#This Row],[Product]],Price!$A$2:C124,3,)</f>
        <v>72</v>
      </c>
      <c r="K117" s="5">
        <f>ShoeSales[[#This Row],[Quantity]]*ShoeSales[[#This Row],[Unit_price]]</f>
        <v>1280</v>
      </c>
      <c r="L117" s="5">
        <f>ShoeSales[[#This Row],[Quantity]]*ShoeSales[[#This Row],[Unit_cost]]</f>
        <v>720</v>
      </c>
      <c r="M117" s="5">
        <f>ShoeSales[[#This Row],[Revenue]]-ShoeSales[[#This Row],[Total_cost]]</f>
        <v>560</v>
      </c>
      <c r="N117" s="11">
        <f>ShoeSales[[#This Row],[Profit]]/ShoeSales[[#This Row],[Revenue]]</f>
        <v>0.4375</v>
      </c>
    </row>
    <row r="118" spans="1:14" ht="14.25" customHeight="1" x14ac:dyDescent="0.25">
      <c r="A118" s="7">
        <v>46146</v>
      </c>
      <c r="B118" s="14" t="s">
        <v>12</v>
      </c>
      <c r="C118" s="15" t="s">
        <v>27</v>
      </c>
      <c r="D118" s="15" t="s">
        <v>38</v>
      </c>
      <c r="E118" s="14" t="str">
        <f ca="1">PROPER(TRIM(CLEAN(ShoeSales[[#This Row],[Brand]])))</f>
        <v>Clarks</v>
      </c>
      <c r="F118" s="15" t="s">
        <v>49</v>
      </c>
      <c r="G118" s="3">
        <v>6</v>
      </c>
      <c r="H118" s="15" t="s">
        <v>32</v>
      </c>
      <c r="I118" s="5">
        <f>VLOOKUP(ShoeSales[[#This Row],[Product]],Price!$A$2:C125,2,)</f>
        <v>112</v>
      </c>
      <c r="J118" s="5">
        <f>VLOOKUP(ShoeSales[[#This Row],[Product]],Price!$A$2:C125,3,)</f>
        <v>64</v>
      </c>
      <c r="K118" s="5">
        <f>ShoeSales[[#This Row],[Quantity]]*ShoeSales[[#This Row],[Unit_price]]</f>
        <v>672</v>
      </c>
      <c r="L118" s="5">
        <f>ShoeSales[[#This Row],[Quantity]]*ShoeSales[[#This Row],[Unit_cost]]</f>
        <v>384</v>
      </c>
      <c r="M118" s="5">
        <f>ShoeSales[[#This Row],[Revenue]]-ShoeSales[[#This Row],[Total_cost]]</f>
        <v>288</v>
      </c>
      <c r="N118" s="11">
        <f>ShoeSales[[#This Row],[Profit]]/ShoeSales[[#This Row],[Revenue]]</f>
        <v>0.42857142857142855</v>
      </c>
    </row>
    <row r="119" spans="1:14" ht="14.25" customHeight="1" x14ac:dyDescent="0.25">
      <c r="A119" s="8">
        <v>46197</v>
      </c>
      <c r="B119" s="14" t="s">
        <v>5</v>
      </c>
      <c r="C119" s="16" t="s">
        <v>52</v>
      </c>
      <c r="D119" s="16" t="s">
        <v>42</v>
      </c>
      <c r="E119" s="14" t="str">
        <f ca="1">PROPER(TRIM(CLEAN(ShoeSales[[#This Row],[Brand]])))</f>
        <v>Zara</v>
      </c>
      <c r="F119" s="16" t="s">
        <v>29</v>
      </c>
      <c r="G119" s="4">
        <v>13</v>
      </c>
      <c r="H119" s="16" t="s">
        <v>32</v>
      </c>
      <c r="I119" s="5">
        <f>VLOOKUP(ShoeSales[[#This Row],[Product]],Price!$A$2:C126,2,)</f>
        <v>89</v>
      </c>
      <c r="J119" s="5">
        <f>VLOOKUP(ShoeSales[[#This Row],[Product]],Price!$A$2:C126,3,)</f>
        <v>47</v>
      </c>
      <c r="K119" s="5">
        <f>ShoeSales[[#This Row],[Quantity]]*ShoeSales[[#This Row],[Unit_price]]</f>
        <v>1157</v>
      </c>
      <c r="L119" s="5">
        <f>ShoeSales[[#This Row],[Quantity]]*ShoeSales[[#This Row],[Unit_cost]]</f>
        <v>611</v>
      </c>
      <c r="M119" s="5">
        <f>ShoeSales[[#This Row],[Revenue]]-ShoeSales[[#This Row],[Total_cost]]</f>
        <v>546</v>
      </c>
      <c r="N119" s="11">
        <f>ShoeSales[[#This Row],[Profit]]/ShoeSales[[#This Row],[Revenue]]</f>
        <v>0.47191011235955055</v>
      </c>
    </row>
    <row r="120" spans="1:14" ht="14.25" customHeight="1" x14ac:dyDescent="0.25">
      <c r="A120" s="7">
        <v>46101</v>
      </c>
      <c r="B120" s="14" t="s">
        <v>7</v>
      </c>
      <c r="C120" s="15" t="s">
        <v>27</v>
      </c>
      <c r="D120" s="15" t="s">
        <v>33</v>
      </c>
      <c r="E120" s="14" t="str">
        <f ca="1">PROPER(TRIM(CLEAN(ShoeSales[[#This Row],[Brand]])))</f>
        <v>Clarks</v>
      </c>
      <c r="F120" s="15" t="s">
        <v>34</v>
      </c>
      <c r="G120" s="3">
        <v>4</v>
      </c>
      <c r="H120" s="15" t="s">
        <v>45</v>
      </c>
      <c r="I120" s="5">
        <f>VLOOKUP(ShoeSales[[#This Row],[Product]],Price!$A$2:C127,2,)</f>
        <v>32</v>
      </c>
      <c r="J120" s="5">
        <f>VLOOKUP(ShoeSales[[#This Row],[Product]],Price!$A$2:C127,3,)</f>
        <v>14</v>
      </c>
      <c r="K120" s="5">
        <f>ShoeSales[[#This Row],[Quantity]]*ShoeSales[[#This Row],[Unit_price]]</f>
        <v>128</v>
      </c>
      <c r="L120" s="5">
        <f>ShoeSales[[#This Row],[Quantity]]*ShoeSales[[#This Row],[Unit_cost]]</f>
        <v>56</v>
      </c>
      <c r="M120" s="5">
        <f>ShoeSales[[#This Row],[Revenue]]-ShoeSales[[#This Row],[Total_cost]]</f>
        <v>72</v>
      </c>
      <c r="N120" s="11">
        <f>ShoeSales[[#This Row],[Profit]]/ShoeSales[[#This Row],[Revenue]]</f>
        <v>0.5625</v>
      </c>
    </row>
    <row r="121" spans="1:14" ht="14.25" customHeight="1" x14ac:dyDescent="0.25">
      <c r="A121" s="8">
        <v>46162</v>
      </c>
      <c r="B121" s="14" t="s">
        <v>8</v>
      </c>
      <c r="C121" s="16" t="s">
        <v>27</v>
      </c>
      <c r="D121" s="16" t="s">
        <v>31</v>
      </c>
      <c r="E121" s="14" t="str">
        <f ca="1">PROPER(TRIM(CLEAN(ShoeSales[[#This Row],[Brand]])))</f>
        <v>Clarks</v>
      </c>
      <c r="F121" s="16" t="s">
        <v>36</v>
      </c>
      <c r="G121" s="4">
        <v>12</v>
      </c>
      <c r="H121" s="16" t="s">
        <v>30</v>
      </c>
      <c r="I121" s="5">
        <f>VLOOKUP(ShoeSales[[#This Row],[Product]],Price!$A$2:C128,2,)</f>
        <v>76</v>
      </c>
      <c r="J121" s="5">
        <f>VLOOKUP(ShoeSales[[#This Row],[Product]],Price!$A$2:C128,3,)</f>
        <v>39</v>
      </c>
      <c r="K121" s="5">
        <f>ShoeSales[[#This Row],[Quantity]]*ShoeSales[[#This Row],[Unit_price]]</f>
        <v>912</v>
      </c>
      <c r="L121" s="5">
        <f>ShoeSales[[#This Row],[Quantity]]*ShoeSales[[#This Row],[Unit_cost]]</f>
        <v>468</v>
      </c>
      <c r="M121" s="5">
        <f>ShoeSales[[#This Row],[Revenue]]-ShoeSales[[#This Row],[Total_cost]]</f>
        <v>444</v>
      </c>
      <c r="N121" s="11">
        <f>ShoeSales[[#This Row],[Profit]]/ShoeSales[[#This Row],[Revenue]]</f>
        <v>0.48684210526315791</v>
      </c>
    </row>
    <row r="122" spans="1:14" ht="14.25" customHeight="1" x14ac:dyDescent="0.25">
      <c r="A122" s="7">
        <v>46248</v>
      </c>
      <c r="B122" s="14" t="s">
        <v>5</v>
      </c>
      <c r="C122" s="15" t="s">
        <v>27</v>
      </c>
      <c r="D122" s="15" t="s">
        <v>33</v>
      </c>
      <c r="E122" s="14" t="str">
        <f ca="1">PROPER(TRIM(CLEAN(ShoeSales[[#This Row],[Brand]])))</f>
        <v>Zara</v>
      </c>
      <c r="F122" s="15" t="s">
        <v>40</v>
      </c>
      <c r="G122" s="3">
        <v>5</v>
      </c>
      <c r="H122" s="15" t="s">
        <v>45</v>
      </c>
      <c r="I122" s="5">
        <f>VLOOKUP(ShoeSales[[#This Row],[Product]],Price!$A$2:C129,2,)</f>
        <v>89</v>
      </c>
      <c r="J122" s="5">
        <f>VLOOKUP(ShoeSales[[#This Row],[Product]],Price!$A$2:C129,3,)</f>
        <v>47</v>
      </c>
      <c r="K122" s="5">
        <f>ShoeSales[[#This Row],[Quantity]]*ShoeSales[[#This Row],[Unit_price]]</f>
        <v>445</v>
      </c>
      <c r="L122" s="5">
        <f>ShoeSales[[#This Row],[Quantity]]*ShoeSales[[#This Row],[Unit_cost]]</f>
        <v>235</v>
      </c>
      <c r="M122" s="5">
        <f>ShoeSales[[#This Row],[Revenue]]-ShoeSales[[#This Row],[Total_cost]]</f>
        <v>210</v>
      </c>
      <c r="N122" s="11">
        <f>ShoeSales[[#This Row],[Profit]]/ShoeSales[[#This Row],[Revenue]]</f>
        <v>0.47191011235955055</v>
      </c>
    </row>
    <row r="123" spans="1:14" ht="14.25" customHeight="1" x14ac:dyDescent="0.25">
      <c r="A123" s="8">
        <v>46049</v>
      </c>
      <c r="B123" s="14" t="s">
        <v>6</v>
      </c>
      <c r="C123" s="16" t="s">
        <v>37</v>
      </c>
      <c r="D123" s="16" t="s">
        <v>28</v>
      </c>
      <c r="E123" s="14" t="str">
        <f ca="1">PROPER(TRIM(CLEAN(ShoeSales[[#This Row],[Brand]])))</f>
        <v>Nike</v>
      </c>
      <c r="F123" s="16" t="s">
        <v>44</v>
      </c>
      <c r="G123" s="4">
        <v>7</v>
      </c>
      <c r="H123" s="16" t="s">
        <v>30</v>
      </c>
      <c r="I123" s="5">
        <f>VLOOKUP(ShoeSales[[#This Row],[Product]],Price!$A$2:C130,2,)</f>
        <v>54</v>
      </c>
      <c r="J123" s="5">
        <f>VLOOKUP(ShoeSales[[#This Row],[Product]],Price!$A$2:C130,3,)</f>
        <v>28</v>
      </c>
      <c r="K123" s="5">
        <f>ShoeSales[[#This Row],[Quantity]]*ShoeSales[[#This Row],[Unit_price]]</f>
        <v>378</v>
      </c>
      <c r="L123" s="5">
        <f>ShoeSales[[#This Row],[Quantity]]*ShoeSales[[#This Row],[Unit_cost]]</f>
        <v>196</v>
      </c>
      <c r="M123" s="5">
        <f>ShoeSales[[#This Row],[Revenue]]-ShoeSales[[#This Row],[Total_cost]]</f>
        <v>182</v>
      </c>
      <c r="N123" s="11">
        <f>ShoeSales[[#This Row],[Profit]]/ShoeSales[[#This Row],[Revenue]]</f>
        <v>0.48148148148148145</v>
      </c>
    </row>
    <row r="124" spans="1:14" ht="14.25" customHeight="1" x14ac:dyDescent="0.25">
      <c r="A124" s="7">
        <v>46190</v>
      </c>
      <c r="B124" s="14" t="s">
        <v>6</v>
      </c>
      <c r="C124" s="15" t="s">
        <v>27</v>
      </c>
      <c r="D124" s="15" t="s">
        <v>42</v>
      </c>
      <c r="E124" s="14" t="str">
        <f ca="1">PROPER(TRIM(CLEAN(ShoeSales[[#This Row],[Brand]])))</f>
        <v>Timberland</v>
      </c>
      <c r="F124" s="15" t="s">
        <v>36</v>
      </c>
      <c r="G124" s="3">
        <v>15</v>
      </c>
      <c r="H124" s="15" t="s">
        <v>30</v>
      </c>
      <c r="I124" s="5">
        <f>VLOOKUP(ShoeSales[[#This Row],[Product]],Price!$A$2:C131,2,)</f>
        <v>54</v>
      </c>
      <c r="J124" s="5">
        <f>VLOOKUP(ShoeSales[[#This Row],[Product]],Price!$A$2:C131,3,)</f>
        <v>28</v>
      </c>
      <c r="K124" s="5">
        <f>ShoeSales[[#This Row],[Quantity]]*ShoeSales[[#This Row],[Unit_price]]</f>
        <v>810</v>
      </c>
      <c r="L124" s="5">
        <f>ShoeSales[[#This Row],[Quantity]]*ShoeSales[[#This Row],[Unit_cost]]</f>
        <v>420</v>
      </c>
      <c r="M124" s="5">
        <f>ShoeSales[[#This Row],[Revenue]]-ShoeSales[[#This Row],[Total_cost]]</f>
        <v>390</v>
      </c>
      <c r="N124" s="11">
        <f>ShoeSales[[#This Row],[Profit]]/ShoeSales[[#This Row],[Revenue]]</f>
        <v>0.48148148148148145</v>
      </c>
    </row>
    <row r="125" spans="1:14" ht="14.25" customHeight="1" x14ac:dyDescent="0.25">
      <c r="A125" s="8">
        <v>46175</v>
      </c>
      <c r="B125" s="14" t="s">
        <v>10</v>
      </c>
      <c r="C125" s="16" t="s">
        <v>27</v>
      </c>
      <c r="D125" s="16" t="s">
        <v>28</v>
      </c>
      <c r="E125" s="14" t="str">
        <f ca="1">PROPER(TRIM(CLEAN(ShoeSales[[#This Row],[Brand]])))</f>
        <v>Clarks</v>
      </c>
      <c r="F125" s="16" t="s">
        <v>46</v>
      </c>
      <c r="G125" s="4">
        <v>15</v>
      </c>
      <c r="H125" s="16" t="s">
        <v>30</v>
      </c>
      <c r="I125" s="5">
        <f>VLOOKUP(ShoeSales[[#This Row],[Product]],Price!$A$2:C132,2,)</f>
        <v>105</v>
      </c>
      <c r="J125" s="5">
        <f>VLOOKUP(ShoeSales[[#This Row],[Product]],Price!$A$2:C132,3,)</f>
        <v>58</v>
      </c>
      <c r="K125" s="5">
        <f>ShoeSales[[#This Row],[Quantity]]*ShoeSales[[#This Row],[Unit_price]]</f>
        <v>1575</v>
      </c>
      <c r="L125" s="5">
        <f>ShoeSales[[#This Row],[Quantity]]*ShoeSales[[#This Row],[Unit_cost]]</f>
        <v>870</v>
      </c>
      <c r="M125" s="5">
        <f>ShoeSales[[#This Row],[Revenue]]-ShoeSales[[#This Row],[Total_cost]]</f>
        <v>705</v>
      </c>
      <c r="N125" s="11">
        <f>ShoeSales[[#This Row],[Profit]]/ShoeSales[[#This Row],[Revenue]]</f>
        <v>0.44761904761904764</v>
      </c>
    </row>
    <row r="126" spans="1:14" ht="14.25" customHeight="1" x14ac:dyDescent="0.25">
      <c r="A126" s="7">
        <v>46050</v>
      </c>
      <c r="B126" s="14" t="s">
        <v>7</v>
      </c>
      <c r="C126" s="15" t="s">
        <v>27</v>
      </c>
      <c r="D126" s="15" t="s">
        <v>28</v>
      </c>
      <c r="E126" s="14" t="str">
        <f ca="1">PROPER(TRIM(CLEAN(ShoeSales[[#This Row],[Brand]])))</f>
        <v>Clarks</v>
      </c>
      <c r="F126" s="15" t="s">
        <v>49</v>
      </c>
      <c r="G126" s="3">
        <v>5</v>
      </c>
      <c r="H126" s="15" t="s">
        <v>30</v>
      </c>
      <c r="I126" s="5">
        <f>VLOOKUP(ShoeSales[[#This Row],[Product]],Price!$A$2:C133,2,)</f>
        <v>32</v>
      </c>
      <c r="J126" s="5">
        <f>VLOOKUP(ShoeSales[[#This Row],[Product]],Price!$A$2:C133,3,)</f>
        <v>14</v>
      </c>
      <c r="K126" s="5">
        <f>ShoeSales[[#This Row],[Quantity]]*ShoeSales[[#This Row],[Unit_price]]</f>
        <v>160</v>
      </c>
      <c r="L126" s="5">
        <f>ShoeSales[[#This Row],[Quantity]]*ShoeSales[[#This Row],[Unit_cost]]</f>
        <v>70</v>
      </c>
      <c r="M126" s="5">
        <f>ShoeSales[[#This Row],[Revenue]]-ShoeSales[[#This Row],[Total_cost]]</f>
        <v>90</v>
      </c>
      <c r="N126" s="11">
        <f>ShoeSales[[#This Row],[Profit]]/ShoeSales[[#This Row],[Revenue]]</f>
        <v>0.5625</v>
      </c>
    </row>
    <row r="127" spans="1:14" ht="14.25" customHeight="1" x14ac:dyDescent="0.25">
      <c r="A127" s="8">
        <v>46205</v>
      </c>
      <c r="B127" s="14" t="s">
        <v>15</v>
      </c>
      <c r="C127" s="16" t="s">
        <v>48</v>
      </c>
      <c r="D127" s="16" t="s">
        <v>38</v>
      </c>
      <c r="E127" s="14" t="str">
        <f ca="1">PROPER(TRIM(CLEAN(ShoeSales[[#This Row],[Brand]])))</f>
        <v>Steve Madden</v>
      </c>
      <c r="F127" s="16" t="s">
        <v>51</v>
      </c>
      <c r="G127" s="4">
        <v>3</v>
      </c>
      <c r="H127" s="16" t="s">
        <v>41</v>
      </c>
      <c r="I127" s="5">
        <f>VLOOKUP(ShoeSales[[#This Row],[Product]],Price!$A$2:C134,2,)</f>
        <v>119</v>
      </c>
      <c r="J127" s="5">
        <f>VLOOKUP(ShoeSales[[#This Row],[Product]],Price!$A$2:C134,3,)</f>
        <v>67</v>
      </c>
      <c r="K127" s="5">
        <f>ShoeSales[[#This Row],[Quantity]]*ShoeSales[[#This Row],[Unit_price]]</f>
        <v>357</v>
      </c>
      <c r="L127" s="5">
        <f>ShoeSales[[#This Row],[Quantity]]*ShoeSales[[#This Row],[Unit_cost]]</f>
        <v>201</v>
      </c>
      <c r="M127" s="5">
        <f>ShoeSales[[#This Row],[Revenue]]-ShoeSales[[#This Row],[Total_cost]]</f>
        <v>156</v>
      </c>
      <c r="N127" s="11">
        <f>ShoeSales[[#This Row],[Profit]]/ShoeSales[[#This Row],[Revenue]]</f>
        <v>0.43697478991596639</v>
      </c>
    </row>
    <row r="128" spans="1:14" ht="14.25" customHeight="1" x14ac:dyDescent="0.25">
      <c r="A128" s="7">
        <v>46121</v>
      </c>
      <c r="B128" s="14" t="s">
        <v>10</v>
      </c>
      <c r="C128" s="15" t="s">
        <v>27</v>
      </c>
      <c r="D128" s="15" t="s">
        <v>38</v>
      </c>
      <c r="E128" s="14" t="str">
        <f ca="1">PROPER(TRIM(CLEAN(ShoeSales[[#This Row],[Brand]])))</f>
        <v>Nike</v>
      </c>
      <c r="F128" s="15" t="s">
        <v>29</v>
      </c>
      <c r="G128" s="3">
        <v>14</v>
      </c>
      <c r="H128" s="15" t="s">
        <v>41</v>
      </c>
      <c r="I128" s="5">
        <f>VLOOKUP(ShoeSales[[#This Row],[Product]],Price!$A$2:C135,2,)</f>
        <v>105</v>
      </c>
      <c r="J128" s="5">
        <f>VLOOKUP(ShoeSales[[#This Row],[Product]],Price!$A$2:C135,3,)</f>
        <v>58</v>
      </c>
      <c r="K128" s="5">
        <f>ShoeSales[[#This Row],[Quantity]]*ShoeSales[[#This Row],[Unit_price]]</f>
        <v>1470</v>
      </c>
      <c r="L128" s="5">
        <f>ShoeSales[[#This Row],[Quantity]]*ShoeSales[[#This Row],[Unit_cost]]</f>
        <v>812</v>
      </c>
      <c r="M128" s="5">
        <f>ShoeSales[[#This Row],[Revenue]]-ShoeSales[[#This Row],[Total_cost]]</f>
        <v>658</v>
      </c>
      <c r="N128" s="11">
        <f>ShoeSales[[#This Row],[Profit]]/ShoeSales[[#This Row],[Revenue]]</f>
        <v>0.44761904761904764</v>
      </c>
    </row>
    <row r="129" spans="1:14" ht="14.25" customHeight="1" x14ac:dyDescent="0.25">
      <c r="A129" s="8">
        <v>46056</v>
      </c>
      <c r="B129" s="14" t="s">
        <v>12</v>
      </c>
      <c r="C129" s="16" t="s">
        <v>27</v>
      </c>
      <c r="D129" s="16" t="s">
        <v>31</v>
      </c>
      <c r="E129" s="14" t="str">
        <f ca="1">PROPER(TRIM(CLEAN(ShoeSales[[#This Row],[Brand]])))</f>
        <v>Clarks</v>
      </c>
      <c r="F129" s="16" t="s">
        <v>47</v>
      </c>
      <c r="G129" s="4">
        <v>7</v>
      </c>
      <c r="H129" s="16" t="s">
        <v>41</v>
      </c>
      <c r="I129" s="5">
        <f>VLOOKUP(ShoeSales[[#This Row],[Product]],Price!$A$2:C136,2,)</f>
        <v>112</v>
      </c>
      <c r="J129" s="5">
        <f>VLOOKUP(ShoeSales[[#This Row],[Product]],Price!$A$2:C136,3,)</f>
        <v>64</v>
      </c>
      <c r="K129" s="5">
        <f>ShoeSales[[#This Row],[Quantity]]*ShoeSales[[#This Row],[Unit_price]]</f>
        <v>784</v>
      </c>
      <c r="L129" s="5">
        <f>ShoeSales[[#This Row],[Quantity]]*ShoeSales[[#This Row],[Unit_cost]]</f>
        <v>448</v>
      </c>
      <c r="M129" s="5">
        <f>ShoeSales[[#This Row],[Revenue]]-ShoeSales[[#This Row],[Total_cost]]</f>
        <v>336</v>
      </c>
      <c r="N129" s="11">
        <f>ShoeSales[[#This Row],[Profit]]/ShoeSales[[#This Row],[Revenue]]</f>
        <v>0.42857142857142855</v>
      </c>
    </row>
    <row r="130" spans="1:14" ht="14.25" customHeight="1" x14ac:dyDescent="0.25">
      <c r="A130" s="7">
        <v>46222</v>
      </c>
      <c r="B130" s="14" t="s">
        <v>7</v>
      </c>
      <c r="C130" s="15" t="s">
        <v>37</v>
      </c>
      <c r="D130" s="15" t="s">
        <v>42</v>
      </c>
      <c r="E130" s="14" t="str">
        <f ca="1">PROPER(TRIM(CLEAN(ShoeSales[[#This Row],[Brand]])))</f>
        <v>Zara</v>
      </c>
      <c r="F130" s="15" t="s">
        <v>35</v>
      </c>
      <c r="G130" s="3">
        <v>8</v>
      </c>
      <c r="H130" s="15" t="s">
        <v>41</v>
      </c>
      <c r="I130" s="5">
        <f>VLOOKUP(ShoeSales[[#This Row],[Product]],Price!$A$2:C137,2,)</f>
        <v>32</v>
      </c>
      <c r="J130" s="5">
        <f>VLOOKUP(ShoeSales[[#This Row],[Product]],Price!$A$2:C137,3,)</f>
        <v>14</v>
      </c>
      <c r="K130" s="5">
        <f>ShoeSales[[#This Row],[Quantity]]*ShoeSales[[#This Row],[Unit_price]]</f>
        <v>256</v>
      </c>
      <c r="L130" s="5">
        <f>ShoeSales[[#This Row],[Quantity]]*ShoeSales[[#This Row],[Unit_cost]]</f>
        <v>112</v>
      </c>
      <c r="M130" s="5">
        <f>ShoeSales[[#This Row],[Revenue]]-ShoeSales[[#This Row],[Total_cost]]</f>
        <v>144</v>
      </c>
      <c r="N130" s="11">
        <f>ShoeSales[[#This Row],[Profit]]/ShoeSales[[#This Row],[Revenue]]</f>
        <v>0.5625</v>
      </c>
    </row>
    <row r="131" spans="1:14" ht="14.25" customHeight="1" x14ac:dyDescent="0.25">
      <c r="A131" s="8">
        <v>46210</v>
      </c>
      <c r="B131" s="14" t="s">
        <v>8</v>
      </c>
      <c r="C131" s="16" t="s">
        <v>27</v>
      </c>
      <c r="D131" s="16" t="s">
        <v>33</v>
      </c>
      <c r="E131" s="14" t="str">
        <f ca="1">PROPER(TRIM(CLEAN(ShoeSales[[#This Row],[Brand]])))</f>
        <v>Zara</v>
      </c>
      <c r="F131" s="16" t="s">
        <v>35</v>
      </c>
      <c r="G131" s="4">
        <v>3</v>
      </c>
      <c r="H131" s="16" t="s">
        <v>32</v>
      </c>
      <c r="I131" s="5">
        <f>VLOOKUP(ShoeSales[[#This Row],[Product]],Price!$A$2:C138,2,)</f>
        <v>76</v>
      </c>
      <c r="J131" s="5">
        <f>VLOOKUP(ShoeSales[[#This Row],[Product]],Price!$A$2:C138,3,)</f>
        <v>39</v>
      </c>
      <c r="K131" s="5">
        <f>ShoeSales[[#This Row],[Quantity]]*ShoeSales[[#This Row],[Unit_price]]</f>
        <v>228</v>
      </c>
      <c r="L131" s="5">
        <f>ShoeSales[[#This Row],[Quantity]]*ShoeSales[[#This Row],[Unit_cost]]</f>
        <v>117</v>
      </c>
      <c r="M131" s="5">
        <f>ShoeSales[[#This Row],[Revenue]]-ShoeSales[[#This Row],[Total_cost]]</f>
        <v>111</v>
      </c>
      <c r="N131" s="11">
        <f>ShoeSales[[#This Row],[Profit]]/ShoeSales[[#This Row],[Revenue]]</f>
        <v>0.48684210526315791</v>
      </c>
    </row>
    <row r="132" spans="1:14" ht="14.25" customHeight="1" x14ac:dyDescent="0.25">
      <c r="A132" s="7">
        <v>46065</v>
      </c>
      <c r="B132" s="14" t="s">
        <v>10</v>
      </c>
      <c r="C132" s="15" t="s">
        <v>27</v>
      </c>
      <c r="D132" s="15" t="s">
        <v>42</v>
      </c>
      <c r="E132" s="14" t="str">
        <f ca="1">PROPER(TRIM(CLEAN(ShoeSales[[#This Row],[Brand]])))</f>
        <v>Zara</v>
      </c>
      <c r="F132" s="15" t="s">
        <v>53</v>
      </c>
      <c r="G132" s="3">
        <v>10</v>
      </c>
      <c r="H132" s="15" t="s">
        <v>32</v>
      </c>
      <c r="I132" s="5">
        <f>VLOOKUP(ShoeSales[[#This Row],[Product]],Price!$A$2:C139,2,)</f>
        <v>105</v>
      </c>
      <c r="J132" s="5">
        <f>VLOOKUP(ShoeSales[[#This Row],[Product]],Price!$A$2:C139,3,)</f>
        <v>58</v>
      </c>
      <c r="K132" s="5">
        <f>ShoeSales[[#This Row],[Quantity]]*ShoeSales[[#This Row],[Unit_price]]</f>
        <v>1050</v>
      </c>
      <c r="L132" s="5">
        <f>ShoeSales[[#This Row],[Quantity]]*ShoeSales[[#This Row],[Unit_cost]]</f>
        <v>580</v>
      </c>
      <c r="M132" s="5">
        <f>ShoeSales[[#This Row],[Revenue]]-ShoeSales[[#This Row],[Total_cost]]</f>
        <v>470</v>
      </c>
      <c r="N132" s="11">
        <f>ShoeSales[[#This Row],[Profit]]/ShoeSales[[#This Row],[Revenue]]</f>
        <v>0.44761904761904764</v>
      </c>
    </row>
    <row r="133" spans="1:14" ht="14.25" customHeight="1" x14ac:dyDescent="0.25">
      <c r="A133" s="8">
        <v>46025</v>
      </c>
      <c r="B133" s="14" t="s">
        <v>7</v>
      </c>
      <c r="C133" s="16" t="s">
        <v>27</v>
      </c>
      <c r="D133" s="16" t="s">
        <v>28</v>
      </c>
      <c r="E133" s="14" t="str">
        <f ca="1">PROPER(TRIM(CLEAN(ShoeSales[[#This Row],[Brand]])))</f>
        <v>Clarks</v>
      </c>
      <c r="F133" s="16" t="s">
        <v>49</v>
      </c>
      <c r="G133" s="4">
        <v>15</v>
      </c>
      <c r="H133" s="16" t="s">
        <v>45</v>
      </c>
      <c r="I133" s="5">
        <f>VLOOKUP(ShoeSales[[#This Row],[Product]],Price!$A$2:C140,2,)</f>
        <v>32</v>
      </c>
      <c r="J133" s="5">
        <f>VLOOKUP(ShoeSales[[#This Row],[Product]],Price!$A$2:C140,3,)</f>
        <v>14</v>
      </c>
      <c r="K133" s="5">
        <f>ShoeSales[[#This Row],[Quantity]]*ShoeSales[[#This Row],[Unit_price]]</f>
        <v>480</v>
      </c>
      <c r="L133" s="5">
        <f>ShoeSales[[#This Row],[Quantity]]*ShoeSales[[#This Row],[Unit_cost]]</f>
        <v>210</v>
      </c>
      <c r="M133" s="5">
        <f>ShoeSales[[#This Row],[Revenue]]-ShoeSales[[#This Row],[Total_cost]]</f>
        <v>270</v>
      </c>
      <c r="N133" s="11">
        <f>ShoeSales[[#This Row],[Profit]]/ShoeSales[[#This Row],[Revenue]]</f>
        <v>0.5625</v>
      </c>
    </row>
    <row r="134" spans="1:14" ht="14.25" customHeight="1" x14ac:dyDescent="0.25">
      <c r="A134" s="7">
        <v>46163</v>
      </c>
      <c r="B134" s="14" t="s">
        <v>6</v>
      </c>
      <c r="C134" s="15" t="s">
        <v>27</v>
      </c>
      <c r="D134" s="15" t="s">
        <v>33</v>
      </c>
      <c r="E134" s="14" t="str">
        <f ca="1">PROPER(TRIM(CLEAN(ShoeSales[[#This Row],[Brand]])))</f>
        <v>Timberland</v>
      </c>
      <c r="F134" s="15" t="s">
        <v>53</v>
      </c>
      <c r="G134" s="3">
        <v>8</v>
      </c>
      <c r="H134" s="15" t="s">
        <v>41</v>
      </c>
      <c r="I134" s="5">
        <f>VLOOKUP(ShoeSales[[#This Row],[Product]],Price!$A$2:C141,2,)</f>
        <v>54</v>
      </c>
      <c r="J134" s="5">
        <f>VLOOKUP(ShoeSales[[#This Row],[Product]],Price!$A$2:C141,3,)</f>
        <v>28</v>
      </c>
      <c r="K134" s="5">
        <f>ShoeSales[[#This Row],[Quantity]]*ShoeSales[[#This Row],[Unit_price]]</f>
        <v>432</v>
      </c>
      <c r="L134" s="5">
        <f>ShoeSales[[#This Row],[Quantity]]*ShoeSales[[#This Row],[Unit_cost]]</f>
        <v>224</v>
      </c>
      <c r="M134" s="5">
        <f>ShoeSales[[#This Row],[Revenue]]-ShoeSales[[#This Row],[Total_cost]]</f>
        <v>208</v>
      </c>
      <c r="N134" s="11">
        <f>ShoeSales[[#This Row],[Profit]]/ShoeSales[[#This Row],[Revenue]]</f>
        <v>0.48148148148148145</v>
      </c>
    </row>
    <row r="135" spans="1:14" ht="14.25" customHeight="1" x14ac:dyDescent="0.25">
      <c r="A135" s="8">
        <v>46233</v>
      </c>
      <c r="B135" s="14" t="s">
        <v>8</v>
      </c>
      <c r="C135" s="16" t="s">
        <v>48</v>
      </c>
      <c r="D135" s="16" t="s">
        <v>33</v>
      </c>
      <c r="E135" s="14" t="str">
        <f ca="1">PROPER(TRIM(CLEAN(ShoeSales[[#This Row],[Brand]])))</f>
        <v>Steve Madden</v>
      </c>
      <c r="F135" s="16" t="s">
        <v>44</v>
      </c>
      <c r="G135" s="4">
        <v>9</v>
      </c>
      <c r="H135" s="16" t="s">
        <v>45</v>
      </c>
      <c r="I135" s="5">
        <f>VLOOKUP(ShoeSales[[#This Row],[Product]],Price!$A$2:C142,2,)</f>
        <v>76</v>
      </c>
      <c r="J135" s="5">
        <f>VLOOKUP(ShoeSales[[#This Row],[Product]],Price!$A$2:C142,3,)</f>
        <v>39</v>
      </c>
      <c r="K135" s="5">
        <f>ShoeSales[[#This Row],[Quantity]]*ShoeSales[[#This Row],[Unit_price]]</f>
        <v>684</v>
      </c>
      <c r="L135" s="5">
        <f>ShoeSales[[#This Row],[Quantity]]*ShoeSales[[#This Row],[Unit_cost]]</f>
        <v>351</v>
      </c>
      <c r="M135" s="5">
        <f>ShoeSales[[#This Row],[Revenue]]-ShoeSales[[#This Row],[Total_cost]]</f>
        <v>333</v>
      </c>
      <c r="N135" s="11">
        <f>ShoeSales[[#This Row],[Profit]]/ShoeSales[[#This Row],[Revenue]]</f>
        <v>0.48684210526315791</v>
      </c>
    </row>
    <row r="136" spans="1:14" ht="14.25" customHeight="1" x14ac:dyDescent="0.25">
      <c r="A136" s="7">
        <v>46223</v>
      </c>
      <c r="B136" s="14" t="s">
        <v>15</v>
      </c>
      <c r="C136" s="15" t="s">
        <v>27</v>
      </c>
      <c r="D136" s="15" t="s">
        <v>31</v>
      </c>
      <c r="E136" s="14" t="str">
        <f ca="1">PROPER(TRIM(CLEAN(ShoeSales[[#This Row],[Brand]])))</f>
        <v>Zara</v>
      </c>
      <c r="F136" s="15" t="s">
        <v>50</v>
      </c>
      <c r="G136" s="3">
        <v>10</v>
      </c>
      <c r="H136" s="15" t="s">
        <v>30</v>
      </c>
      <c r="I136" s="5">
        <f>VLOOKUP(ShoeSales[[#This Row],[Product]],Price!$A$2:C143,2,)</f>
        <v>119</v>
      </c>
      <c r="J136" s="5">
        <f>VLOOKUP(ShoeSales[[#This Row],[Product]],Price!$A$2:C143,3,)</f>
        <v>67</v>
      </c>
      <c r="K136" s="5">
        <f>ShoeSales[[#This Row],[Quantity]]*ShoeSales[[#This Row],[Unit_price]]</f>
        <v>1190</v>
      </c>
      <c r="L136" s="5">
        <f>ShoeSales[[#This Row],[Quantity]]*ShoeSales[[#This Row],[Unit_cost]]</f>
        <v>670</v>
      </c>
      <c r="M136" s="5">
        <f>ShoeSales[[#This Row],[Revenue]]-ShoeSales[[#This Row],[Total_cost]]</f>
        <v>520</v>
      </c>
      <c r="N136" s="11">
        <f>ShoeSales[[#This Row],[Profit]]/ShoeSales[[#This Row],[Revenue]]</f>
        <v>0.43697478991596639</v>
      </c>
    </row>
    <row r="137" spans="1:14" ht="14.25" customHeight="1" x14ac:dyDescent="0.25">
      <c r="A137" s="8">
        <v>46121</v>
      </c>
      <c r="B137" s="14" t="s">
        <v>12</v>
      </c>
      <c r="C137" s="16" t="s">
        <v>27</v>
      </c>
      <c r="D137" s="16" t="s">
        <v>28</v>
      </c>
      <c r="E137" s="14" t="str">
        <f ca="1">PROPER(TRIM(CLEAN(ShoeSales[[#This Row],[Brand]])))</f>
        <v>Nike</v>
      </c>
      <c r="F137" s="16" t="s">
        <v>43</v>
      </c>
      <c r="G137" s="4">
        <v>6</v>
      </c>
      <c r="H137" s="16" t="s">
        <v>32</v>
      </c>
      <c r="I137" s="5">
        <f>VLOOKUP(ShoeSales[[#This Row],[Product]],Price!$A$2:C144,2,)</f>
        <v>112</v>
      </c>
      <c r="J137" s="5">
        <f>VLOOKUP(ShoeSales[[#This Row],[Product]],Price!$A$2:C144,3,)</f>
        <v>64</v>
      </c>
      <c r="K137" s="5">
        <f>ShoeSales[[#This Row],[Quantity]]*ShoeSales[[#This Row],[Unit_price]]</f>
        <v>672</v>
      </c>
      <c r="L137" s="5">
        <f>ShoeSales[[#This Row],[Quantity]]*ShoeSales[[#This Row],[Unit_cost]]</f>
        <v>384</v>
      </c>
      <c r="M137" s="5">
        <f>ShoeSales[[#This Row],[Revenue]]-ShoeSales[[#This Row],[Total_cost]]</f>
        <v>288</v>
      </c>
      <c r="N137" s="11">
        <f>ShoeSales[[#This Row],[Profit]]/ShoeSales[[#This Row],[Revenue]]</f>
        <v>0.42857142857142855</v>
      </c>
    </row>
    <row r="138" spans="1:14" ht="14.25" customHeight="1" x14ac:dyDescent="0.25">
      <c r="A138" s="7">
        <v>46173</v>
      </c>
      <c r="B138" s="14" t="s">
        <v>9</v>
      </c>
      <c r="C138" s="15" t="s">
        <v>27</v>
      </c>
      <c r="D138" s="15" t="s">
        <v>38</v>
      </c>
      <c r="E138" s="14" t="str">
        <f ca="1">PROPER(TRIM(CLEAN(ShoeSales[[#This Row],[Brand]])))</f>
        <v>Zara</v>
      </c>
      <c r="F138" s="15" t="s">
        <v>49</v>
      </c>
      <c r="G138" s="3">
        <v>7</v>
      </c>
      <c r="H138" s="15" t="s">
        <v>32</v>
      </c>
      <c r="I138" s="5">
        <f>VLOOKUP(ShoeSales[[#This Row],[Product]],Price!$A$2:C145,2,)</f>
        <v>128</v>
      </c>
      <c r="J138" s="5">
        <f>VLOOKUP(ShoeSales[[#This Row],[Product]],Price!$A$2:C145,3,)</f>
        <v>72</v>
      </c>
      <c r="K138" s="5">
        <f>ShoeSales[[#This Row],[Quantity]]*ShoeSales[[#This Row],[Unit_price]]</f>
        <v>896</v>
      </c>
      <c r="L138" s="5">
        <f>ShoeSales[[#This Row],[Quantity]]*ShoeSales[[#This Row],[Unit_cost]]</f>
        <v>504</v>
      </c>
      <c r="M138" s="5">
        <f>ShoeSales[[#This Row],[Revenue]]-ShoeSales[[#This Row],[Total_cost]]</f>
        <v>392</v>
      </c>
      <c r="N138" s="11">
        <f>ShoeSales[[#This Row],[Profit]]/ShoeSales[[#This Row],[Revenue]]</f>
        <v>0.4375</v>
      </c>
    </row>
    <row r="139" spans="1:14" ht="14.25" customHeight="1" x14ac:dyDescent="0.25">
      <c r="A139" s="8">
        <v>46219</v>
      </c>
      <c r="B139" s="14" t="s">
        <v>8</v>
      </c>
      <c r="C139" s="16" t="s">
        <v>52</v>
      </c>
      <c r="D139" s="16" t="s">
        <v>28</v>
      </c>
      <c r="E139" s="14" t="str">
        <f ca="1">PROPER(TRIM(CLEAN(ShoeSales[[#This Row],[Brand]])))</f>
        <v>Steve Madden</v>
      </c>
      <c r="F139" s="16" t="s">
        <v>39</v>
      </c>
      <c r="G139" s="4">
        <v>15</v>
      </c>
      <c r="H139" s="16" t="s">
        <v>41</v>
      </c>
      <c r="I139" s="5">
        <f>VLOOKUP(ShoeSales[[#This Row],[Product]],Price!$A$2:C146,2,)</f>
        <v>76</v>
      </c>
      <c r="J139" s="5">
        <f>VLOOKUP(ShoeSales[[#This Row],[Product]],Price!$A$2:C146,3,)</f>
        <v>39</v>
      </c>
      <c r="K139" s="5">
        <f>ShoeSales[[#This Row],[Quantity]]*ShoeSales[[#This Row],[Unit_price]]</f>
        <v>1140</v>
      </c>
      <c r="L139" s="5">
        <f>ShoeSales[[#This Row],[Quantity]]*ShoeSales[[#This Row],[Unit_cost]]</f>
        <v>585</v>
      </c>
      <c r="M139" s="5">
        <f>ShoeSales[[#This Row],[Revenue]]-ShoeSales[[#This Row],[Total_cost]]</f>
        <v>555</v>
      </c>
      <c r="N139" s="11">
        <f>ShoeSales[[#This Row],[Profit]]/ShoeSales[[#This Row],[Revenue]]</f>
        <v>0.48684210526315791</v>
      </c>
    </row>
    <row r="140" spans="1:14" ht="14.25" customHeight="1" x14ac:dyDescent="0.25">
      <c r="A140" s="7">
        <v>46203</v>
      </c>
      <c r="B140" s="14" t="s">
        <v>5</v>
      </c>
      <c r="C140" s="15" t="s">
        <v>27</v>
      </c>
      <c r="D140" s="15" t="s">
        <v>38</v>
      </c>
      <c r="E140" s="14" t="str">
        <f ca="1">PROPER(TRIM(CLEAN(ShoeSales[[#This Row],[Brand]])))</f>
        <v>Zara</v>
      </c>
      <c r="F140" s="15" t="s">
        <v>43</v>
      </c>
      <c r="G140" s="3">
        <v>11</v>
      </c>
      <c r="H140" s="15" t="s">
        <v>30</v>
      </c>
      <c r="I140" s="5">
        <f>VLOOKUP(ShoeSales[[#This Row],[Product]],Price!$A$2:C147,2,)</f>
        <v>89</v>
      </c>
      <c r="J140" s="5">
        <f>VLOOKUP(ShoeSales[[#This Row],[Product]],Price!$A$2:C147,3,)</f>
        <v>47</v>
      </c>
      <c r="K140" s="5">
        <f>ShoeSales[[#This Row],[Quantity]]*ShoeSales[[#This Row],[Unit_price]]</f>
        <v>979</v>
      </c>
      <c r="L140" s="5">
        <f>ShoeSales[[#This Row],[Quantity]]*ShoeSales[[#This Row],[Unit_cost]]</f>
        <v>517</v>
      </c>
      <c r="M140" s="5">
        <f>ShoeSales[[#This Row],[Revenue]]-ShoeSales[[#This Row],[Total_cost]]</f>
        <v>462</v>
      </c>
      <c r="N140" s="11">
        <f>ShoeSales[[#This Row],[Profit]]/ShoeSales[[#This Row],[Revenue]]</f>
        <v>0.47191011235955055</v>
      </c>
    </row>
    <row r="141" spans="1:14" ht="14.25" customHeight="1" x14ac:dyDescent="0.25">
      <c r="A141" s="8">
        <v>46156</v>
      </c>
      <c r="B141" s="14" t="s">
        <v>9</v>
      </c>
      <c r="C141" s="16" t="s">
        <v>48</v>
      </c>
      <c r="D141" s="16" t="s">
        <v>28</v>
      </c>
      <c r="E141" s="14" t="str">
        <f ca="1">PROPER(TRIM(CLEAN(ShoeSales[[#This Row],[Brand]])))</f>
        <v>Nike</v>
      </c>
      <c r="F141" s="16" t="s">
        <v>34</v>
      </c>
      <c r="G141" s="4">
        <v>8</v>
      </c>
      <c r="H141" s="16" t="s">
        <v>32</v>
      </c>
      <c r="I141" s="5">
        <f>VLOOKUP(ShoeSales[[#This Row],[Product]],Price!$A$2:C148,2,)</f>
        <v>128</v>
      </c>
      <c r="J141" s="5">
        <f>VLOOKUP(ShoeSales[[#This Row],[Product]],Price!$A$2:C148,3,)</f>
        <v>72</v>
      </c>
      <c r="K141" s="5">
        <f>ShoeSales[[#This Row],[Quantity]]*ShoeSales[[#This Row],[Unit_price]]</f>
        <v>1024</v>
      </c>
      <c r="L141" s="5">
        <f>ShoeSales[[#This Row],[Quantity]]*ShoeSales[[#This Row],[Unit_cost]]</f>
        <v>576</v>
      </c>
      <c r="M141" s="5">
        <f>ShoeSales[[#This Row],[Revenue]]-ShoeSales[[#This Row],[Total_cost]]</f>
        <v>448</v>
      </c>
      <c r="N141" s="11">
        <f>ShoeSales[[#This Row],[Profit]]/ShoeSales[[#This Row],[Revenue]]</f>
        <v>0.4375</v>
      </c>
    </row>
    <row r="142" spans="1:14" ht="14.25" customHeight="1" x14ac:dyDescent="0.25">
      <c r="A142" s="7">
        <v>46244</v>
      </c>
      <c r="B142" s="14" t="s">
        <v>5</v>
      </c>
      <c r="C142" s="15" t="s">
        <v>27</v>
      </c>
      <c r="D142" s="15" t="s">
        <v>33</v>
      </c>
      <c r="E142" s="14" t="str">
        <f ca="1">PROPER(TRIM(CLEAN(ShoeSales[[#This Row],[Brand]])))</f>
        <v>Zara</v>
      </c>
      <c r="F142" s="15" t="s">
        <v>47</v>
      </c>
      <c r="G142" s="3">
        <v>8</v>
      </c>
      <c r="H142" s="15" t="s">
        <v>30</v>
      </c>
      <c r="I142" s="5">
        <f>VLOOKUP(ShoeSales[[#This Row],[Product]],Price!$A$2:C149,2,)</f>
        <v>89</v>
      </c>
      <c r="J142" s="5">
        <f>VLOOKUP(ShoeSales[[#This Row],[Product]],Price!$A$2:C149,3,)</f>
        <v>47</v>
      </c>
      <c r="K142" s="5">
        <f>ShoeSales[[#This Row],[Quantity]]*ShoeSales[[#This Row],[Unit_price]]</f>
        <v>712</v>
      </c>
      <c r="L142" s="5">
        <f>ShoeSales[[#This Row],[Quantity]]*ShoeSales[[#This Row],[Unit_cost]]</f>
        <v>376</v>
      </c>
      <c r="M142" s="5">
        <f>ShoeSales[[#This Row],[Revenue]]-ShoeSales[[#This Row],[Total_cost]]</f>
        <v>336</v>
      </c>
      <c r="N142" s="11">
        <f>ShoeSales[[#This Row],[Profit]]/ShoeSales[[#This Row],[Revenue]]</f>
        <v>0.47191011235955055</v>
      </c>
    </row>
    <row r="143" spans="1:14" ht="14.25" customHeight="1" x14ac:dyDescent="0.25">
      <c r="A143" s="8">
        <v>46050</v>
      </c>
      <c r="B143" s="14" t="s">
        <v>9</v>
      </c>
      <c r="C143" s="16" t="s">
        <v>37</v>
      </c>
      <c r="D143" s="16" t="s">
        <v>42</v>
      </c>
      <c r="E143" s="14" t="str">
        <f ca="1">PROPER(TRIM(CLEAN(ShoeSales[[#This Row],[Brand]])))</f>
        <v>Nike</v>
      </c>
      <c r="F143" s="16" t="s">
        <v>43</v>
      </c>
      <c r="G143" s="4">
        <v>2</v>
      </c>
      <c r="H143" s="16" t="s">
        <v>45</v>
      </c>
      <c r="I143" s="5">
        <f>VLOOKUP(ShoeSales[[#This Row],[Product]],Price!$A$2:C150,2,)</f>
        <v>128</v>
      </c>
      <c r="J143" s="5">
        <f>VLOOKUP(ShoeSales[[#This Row],[Product]],Price!$A$2:C150,3,)</f>
        <v>72</v>
      </c>
      <c r="K143" s="5">
        <f>ShoeSales[[#This Row],[Quantity]]*ShoeSales[[#This Row],[Unit_price]]</f>
        <v>256</v>
      </c>
      <c r="L143" s="5">
        <f>ShoeSales[[#This Row],[Quantity]]*ShoeSales[[#This Row],[Unit_cost]]</f>
        <v>144</v>
      </c>
      <c r="M143" s="5">
        <f>ShoeSales[[#This Row],[Revenue]]-ShoeSales[[#This Row],[Total_cost]]</f>
        <v>112</v>
      </c>
      <c r="N143" s="11">
        <f>ShoeSales[[#This Row],[Profit]]/ShoeSales[[#This Row],[Revenue]]</f>
        <v>0.4375</v>
      </c>
    </row>
    <row r="144" spans="1:14" ht="14.25" customHeight="1" x14ac:dyDescent="0.25">
      <c r="A144" s="7">
        <v>46069</v>
      </c>
      <c r="B144" s="14" t="s">
        <v>10</v>
      </c>
      <c r="C144" s="15" t="s">
        <v>27</v>
      </c>
      <c r="D144" s="15" t="s">
        <v>28</v>
      </c>
      <c r="E144" s="14" t="str">
        <f ca="1">PROPER(TRIM(CLEAN(ShoeSales[[#This Row],[Brand]])))</f>
        <v>Clarks</v>
      </c>
      <c r="F144" s="15" t="s">
        <v>39</v>
      </c>
      <c r="G144" s="3">
        <v>12</v>
      </c>
      <c r="H144" s="15" t="s">
        <v>32</v>
      </c>
      <c r="I144" s="5">
        <f>VLOOKUP(ShoeSales[[#This Row],[Product]],Price!$A$2:C151,2,)</f>
        <v>105</v>
      </c>
      <c r="J144" s="5">
        <f>VLOOKUP(ShoeSales[[#This Row],[Product]],Price!$A$2:C151,3,)</f>
        <v>58</v>
      </c>
      <c r="K144" s="5">
        <f>ShoeSales[[#This Row],[Quantity]]*ShoeSales[[#This Row],[Unit_price]]</f>
        <v>1260</v>
      </c>
      <c r="L144" s="5">
        <f>ShoeSales[[#This Row],[Quantity]]*ShoeSales[[#This Row],[Unit_cost]]</f>
        <v>696</v>
      </c>
      <c r="M144" s="5">
        <f>ShoeSales[[#This Row],[Revenue]]-ShoeSales[[#This Row],[Total_cost]]</f>
        <v>564</v>
      </c>
      <c r="N144" s="11">
        <f>ShoeSales[[#This Row],[Profit]]/ShoeSales[[#This Row],[Revenue]]</f>
        <v>0.44761904761904764</v>
      </c>
    </row>
    <row r="145" spans="1:14" ht="14.25" customHeight="1" x14ac:dyDescent="0.25">
      <c r="A145" s="8">
        <v>46229</v>
      </c>
      <c r="B145" s="14" t="s">
        <v>9</v>
      </c>
      <c r="C145" s="16" t="s">
        <v>27</v>
      </c>
      <c r="D145" s="16" t="s">
        <v>38</v>
      </c>
      <c r="E145" s="14" t="str">
        <f ca="1">PROPER(TRIM(CLEAN(ShoeSales[[#This Row],[Brand]])))</f>
        <v>Zara</v>
      </c>
      <c r="F145" s="16" t="s">
        <v>53</v>
      </c>
      <c r="G145" s="4">
        <v>13</v>
      </c>
      <c r="H145" s="16" t="s">
        <v>41</v>
      </c>
      <c r="I145" s="5">
        <f>VLOOKUP(ShoeSales[[#This Row],[Product]],Price!$A$2:C152,2,)</f>
        <v>128</v>
      </c>
      <c r="J145" s="5">
        <f>VLOOKUP(ShoeSales[[#This Row],[Product]],Price!$A$2:C152,3,)</f>
        <v>72</v>
      </c>
      <c r="K145" s="5">
        <f>ShoeSales[[#This Row],[Quantity]]*ShoeSales[[#This Row],[Unit_price]]</f>
        <v>1664</v>
      </c>
      <c r="L145" s="5">
        <f>ShoeSales[[#This Row],[Quantity]]*ShoeSales[[#This Row],[Unit_cost]]</f>
        <v>936</v>
      </c>
      <c r="M145" s="5">
        <f>ShoeSales[[#This Row],[Revenue]]-ShoeSales[[#This Row],[Total_cost]]</f>
        <v>728</v>
      </c>
      <c r="N145" s="11">
        <f>ShoeSales[[#This Row],[Profit]]/ShoeSales[[#This Row],[Revenue]]</f>
        <v>0.4375</v>
      </c>
    </row>
    <row r="146" spans="1:14" ht="14.25" customHeight="1" x14ac:dyDescent="0.25">
      <c r="A146" s="7">
        <v>46109</v>
      </c>
      <c r="B146" s="14" t="s">
        <v>6</v>
      </c>
      <c r="C146" s="15" t="s">
        <v>48</v>
      </c>
      <c r="D146" s="15" t="s">
        <v>31</v>
      </c>
      <c r="E146" s="14" t="str">
        <f ca="1">PROPER(TRIM(CLEAN(ShoeSales[[#This Row],[Brand]])))</f>
        <v>Timberland</v>
      </c>
      <c r="F146" s="15" t="s">
        <v>53</v>
      </c>
      <c r="G146" s="3">
        <v>3</v>
      </c>
      <c r="H146" s="15" t="s">
        <v>30</v>
      </c>
      <c r="I146" s="5">
        <f>VLOOKUP(ShoeSales[[#This Row],[Product]],Price!$A$2:C153,2,)</f>
        <v>54</v>
      </c>
      <c r="J146" s="5">
        <f>VLOOKUP(ShoeSales[[#This Row],[Product]],Price!$A$2:C153,3,)</f>
        <v>28</v>
      </c>
      <c r="K146" s="5">
        <f>ShoeSales[[#This Row],[Quantity]]*ShoeSales[[#This Row],[Unit_price]]</f>
        <v>162</v>
      </c>
      <c r="L146" s="5">
        <f>ShoeSales[[#This Row],[Quantity]]*ShoeSales[[#This Row],[Unit_cost]]</f>
        <v>84</v>
      </c>
      <c r="M146" s="5">
        <f>ShoeSales[[#This Row],[Revenue]]-ShoeSales[[#This Row],[Total_cost]]</f>
        <v>78</v>
      </c>
      <c r="N146" s="11">
        <f>ShoeSales[[#This Row],[Profit]]/ShoeSales[[#This Row],[Revenue]]</f>
        <v>0.48148148148148145</v>
      </c>
    </row>
    <row r="147" spans="1:14" ht="14.25" customHeight="1" x14ac:dyDescent="0.25">
      <c r="A147" s="8">
        <v>46130</v>
      </c>
      <c r="B147" s="14" t="s">
        <v>9</v>
      </c>
      <c r="C147" s="16" t="s">
        <v>27</v>
      </c>
      <c r="D147" s="16" t="s">
        <v>31</v>
      </c>
      <c r="E147" s="14" t="str">
        <f ca="1">PROPER(TRIM(CLEAN(ShoeSales[[#This Row],[Brand]])))</f>
        <v>Zara</v>
      </c>
      <c r="F147" s="16" t="s">
        <v>44</v>
      </c>
      <c r="G147" s="4">
        <v>11</v>
      </c>
      <c r="H147" s="16" t="s">
        <v>32</v>
      </c>
      <c r="I147" s="5">
        <f>VLOOKUP(ShoeSales[[#This Row],[Product]],Price!$A$2:C154,2,)</f>
        <v>128</v>
      </c>
      <c r="J147" s="5">
        <f>VLOOKUP(ShoeSales[[#This Row],[Product]],Price!$A$2:C154,3,)</f>
        <v>72</v>
      </c>
      <c r="K147" s="5">
        <f>ShoeSales[[#This Row],[Quantity]]*ShoeSales[[#This Row],[Unit_price]]</f>
        <v>1408</v>
      </c>
      <c r="L147" s="5">
        <f>ShoeSales[[#This Row],[Quantity]]*ShoeSales[[#This Row],[Unit_cost]]</f>
        <v>792</v>
      </c>
      <c r="M147" s="5">
        <f>ShoeSales[[#This Row],[Revenue]]-ShoeSales[[#This Row],[Total_cost]]</f>
        <v>616</v>
      </c>
      <c r="N147" s="11">
        <f>ShoeSales[[#This Row],[Profit]]/ShoeSales[[#This Row],[Revenue]]</f>
        <v>0.4375</v>
      </c>
    </row>
    <row r="148" spans="1:14" ht="14.25" customHeight="1" x14ac:dyDescent="0.25">
      <c r="A148" s="7">
        <v>46194</v>
      </c>
      <c r="B148" s="14" t="s">
        <v>12</v>
      </c>
      <c r="C148" s="15" t="s">
        <v>27</v>
      </c>
      <c r="D148" s="15" t="s">
        <v>28</v>
      </c>
      <c r="E148" s="14" t="str">
        <f ca="1">PROPER(TRIM(CLEAN(ShoeSales[[#This Row],[Brand]])))</f>
        <v>Zara</v>
      </c>
      <c r="F148" s="15" t="s">
        <v>36</v>
      </c>
      <c r="G148" s="3">
        <v>3</v>
      </c>
      <c r="H148" s="15" t="s">
        <v>30</v>
      </c>
      <c r="I148" s="5">
        <f>VLOOKUP(ShoeSales[[#This Row],[Product]],Price!$A$2:C155,2,)</f>
        <v>112</v>
      </c>
      <c r="J148" s="5">
        <f>VLOOKUP(ShoeSales[[#This Row],[Product]],Price!$A$2:C155,3,)</f>
        <v>64</v>
      </c>
      <c r="K148" s="5">
        <f>ShoeSales[[#This Row],[Quantity]]*ShoeSales[[#This Row],[Unit_price]]</f>
        <v>336</v>
      </c>
      <c r="L148" s="5">
        <f>ShoeSales[[#This Row],[Quantity]]*ShoeSales[[#This Row],[Unit_cost]]</f>
        <v>192</v>
      </c>
      <c r="M148" s="5">
        <f>ShoeSales[[#This Row],[Revenue]]-ShoeSales[[#This Row],[Total_cost]]</f>
        <v>144</v>
      </c>
      <c r="N148" s="11">
        <f>ShoeSales[[#This Row],[Profit]]/ShoeSales[[#This Row],[Revenue]]</f>
        <v>0.42857142857142855</v>
      </c>
    </row>
    <row r="149" spans="1:14" ht="14.25" customHeight="1" x14ac:dyDescent="0.25">
      <c r="A149" s="8">
        <v>46060</v>
      </c>
      <c r="B149" s="14" t="s">
        <v>10</v>
      </c>
      <c r="C149" s="16" t="s">
        <v>52</v>
      </c>
      <c r="D149" s="16" t="s">
        <v>33</v>
      </c>
      <c r="E149" s="14" t="str">
        <f ca="1">PROPER(TRIM(CLEAN(ShoeSales[[#This Row],[Brand]])))</f>
        <v>Zara</v>
      </c>
      <c r="F149" s="16" t="s">
        <v>36</v>
      </c>
      <c r="G149" s="4">
        <v>14</v>
      </c>
      <c r="H149" s="16" t="s">
        <v>32</v>
      </c>
      <c r="I149" s="5">
        <f>VLOOKUP(ShoeSales[[#This Row],[Product]],Price!$A$2:C156,2,)</f>
        <v>105</v>
      </c>
      <c r="J149" s="5">
        <f>VLOOKUP(ShoeSales[[#This Row],[Product]],Price!$A$2:C156,3,)</f>
        <v>58</v>
      </c>
      <c r="K149" s="5">
        <f>ShoeSales[[#This Row],[Quantity]]*ShoeSales[[#This Row],[Unit_price]]</f>
        <v>1470</v>
      </c>
      <c r="L149" s="5">
        <f>ShoeSales[[#This Row],[Quantity]]*ShoeSales[[#This Row],[Unit_cost]]</f>
        <v>812</v>
      </c>
      <c r="M149" s="5">
        <f>ShoeSales[[#This Row],[Revenue]]-ShoeSales[[#This Row],[Total_cost]]</f>
        <v>658</v>
      </c>
      <c r="N149" s="11">
        <f>ShoeSales[[#This Row],[Profit]]/ShoeSales[[#This Row],[Revenue]]</f>
        <v>0.44761904761904764</v>
      </c>
    </row>
    <row r="150" spans="1:14" ht="14.25" customHeight="1" x14ac:dyDescent="0.25">
      <c r="A150" s="7">
        <v>46065</v>
      </c>
      <c r="B150" s="14" t="s">
        <v>15</v>
      </c>
      <c r="C150" s="15" t="s">
        <v>48</v>
      </c>
      <c r="D150" s="15" t="s">
        <v>42</v>
      </c>
      <c r="E150" s="14" t="str">
        <f ca="1">PROPER(TRIM(CLEAN(ShoeSales[[#This Row],[Brand]])))</f>
        <v>Clarks</v>
      </c>
      <c r="F150" s="15" t="s">
        <v>36</v>
      </c>
      <c r="G150" s="3">
        <v>1</v>
      </c>
      <c r="H150" s="15" t="s">
        <v>41</v>
      </c>
      <c r="I150" s="5">
        <f>VLOOKUP(ShoeSales[[#This Row],[Product]],Price!$A$2:C157,2,)</f>
        <v>119</v>
      </c>
      <c r="J150" s="5">
        <f>VLOOKUP(ShoeSales[[#This Row],[Product]],Price!$A$2:C157,3,)</f>
        <v>67</v>
      </c>
      <c r="K150" s="5">
        <f>ShoeSales[[#This Row],[Quantity]]*ShoeSales[[#This Row],[Unit_price]]</f>
        <v>119</v>
      </c>
      <c r="L150" s="5">
        <f>ShoeSales[[#This Row],[Quantity]]*ShoeSales[[#This Row],[Unit_cost]]</f>
        <v>67</v>
      </c>
      <c r="M150" s="5">
        <f>ShoeSales[[#This Row],[Revenue]]-ShoeSales[[#This Row],[Total_cost]]</f>
        <v>52</v>
      </c>
      <c r="N150" s="11">
        <f>ShoeSales[[#This Row],[Profit]]/ShoeSales[[#This Row],[Revenue]]</f>
        <v>0.43697478991596639</v>
      </c>
    </row>
    <row r="151" spans="1:14" ht="14.25" customHeight="1" x14ac:dyDescent="0.25">
      <c r="A151" s="8">
        <v>46166</v>
      </c>
      <c r="B151" s="14" t="s">
        <v>12</v>
      </c>
      <c r="C151" s="16" t="s">
        <v>27</v>
      </c>
      <c r="D151" s="16" t="s">
        <v>33</v>
      </c>
      <c r="E151" s="14" t="str">
        <f ca="1">PROPER(TRIM(CLEAN(ShoeSales[[#This Row],[Brand]])))</f>
        <v>Steve Madden</v>
      </c>
      <c r="F151" s="16" t="s">
        <v>53</v>
      </c>
      <c r="G151" s="4">
        <v>10</v>
      </c>
      <c r="H151" s="16" t="s">
        <v>30</v>
      </c>
      <c r="I151" s="5">
        <f>VLOOKUP(ShoeSales[[#This Row],[Product]],Price!$A$2:C158,2,)</f>
        <v>112</v>
      </c>
      <c r="J151" s="5">
        <f>VLOOKUP(ShoeSales[[#This Row],[Product]],Price!$A$2:C158,3,)</f>
        <v>64</v>
      </c>
      <c r="K151" s="5">
        <f>ShoeSales[[#This Row],[Quantity]]*ShoeSales[[#This Row],[Unit_price]]</f>
        <v>1120</v>
      </c>
      <c r="L151" s="5">
        <f>ShoeSales[[#This Row],[Quantity]]*ShoeSales[[#This Row],[Unit_cost]]</f>
        <v>640</v>
      </c>
      <c r="M151" s="5">
        <f>ShoeSales[[#This Row],[Revenue]]-ShoeSales[[#This Row],[Total_cost]]</f>
        <v>480</v>
      </c>
      <c r="N151" s="11">
        <f>ShoeSales[[#This Row],[Profit]]/ShoeSales[[#This Row],[Revenue]]</f>
        <v>0.42857142857142855</v>
      </c>
    </row>
    <row r="152" spans="1:14" ht="14.25" customHeight="1" x14ac:dyDescent="0.25">
      <c r="A152" s="7">
        <v>46210</v>
      </c>
      <c r="B152" s="14" t="s">
        <v>5</v>
      </c>
      <c r="C152" s="15" t="s">
        <v>27</v>
      </c>
      <c r="D152" s="15" t="s">
        <v>33</v>
      </c>
      <c r="E152" s="14" t="str">
        <f ca="1">PROPER(TRIM(CLEAN(ShoeSales[[#This Row],[Brand]])))</f>
        <v>Nike</v>
      </c>
      <c r="F152" s="15" t="s">
        <v>35</v>
      </c>
      <c r="G152" s="3">
        <v>7</v>
      </c>
      <c r="H152" s="15" t="s">
        <v>30</v>
      </c>
      <c r="I152" s="5">
        <f>VLOOKUP(ShoeSales[[#This Row],[Product]],Price!$A$2:C159,2,)</f>
        <v>89</v>
      </c>
      <c r="J152" s="5">
        <f>VLOOKUP(ShoeSales[[#This Row],[Product]],Price!$A$2:C159,3,)</f>
        <v>47</v>
      </c>
      <c r="K152" s="5">
        <f>ShoeSales[[#This Row],[Quantity]]*ShoeSales[[#This Row],[Unit_price]]</f>
        <v>623</v>
      </c>
      <c r="L152" s="5">
        <f>ShoeSales[[#This Row],[Quantity]]*ShoeSales[[#This Row],[Unit_cost]]</f>
        <v>329</v>
      </c>
      <c r="M152" s="5">
        <f>ShoeSales[[#This Row],[Revenue]]-ShoeSales[[#This Row],[Total_cost]]</f>
        <v>294</v>
      </c>
      <c r="N152" s="11">
        <f>ShoeSales[[#This Row],[Profit]]/ShoeSales[[#This Row],[Revenue]]</f>
        <v>0.47191011235955055</v>
      </c>
    </row>
    <row r="153" spans="1:14" ht="14.25" customHeight="1" x14ac:dyDescent="0.25">
      <c r="A153" s="8">
        <v>46125</v>
      </c>
      <c r="B153" s="14" t="s">
        <v>10</v>
      </c>
      <c r="C153" s="16" t="s">
        <v>37</v>
      </c>
      <c r="D153" s="16" t="s">
        <v>42</v>
      </c>
      <c r="E153" s="14" t="str">
        <f ca="1">PROPER(TRIM(CLEAN(ShoeSales[[#This Row],[Brand]])))</f>
        <v>Zara</v>
      </c>
      <c r="F153" s="16" t="s">
        <v>49</v>
      </c>
      <c r="G153" s="4">
        <v>6</v>
      </c>
      <c r="H153" s="16" t="s">
        <v>45</v>
      </c>
      <c r="I153" s="5">
        <f>VLOOKUP(ShoeSales[[#This Row],[Product]],Price!$A$2:C160,2,)</f>
        <v>105</v>
      </c>
      <c r="J153" s="5">
        <f>VLOOKUP(ShoeSales[[#This Row],[Product]],Price!$A$2:C160,3,)</f>
        <v>58</v>
      </c>
      <c r="K153" s="5">
        <f>ShoeSales[[#This Row],[Quantity]]*ShoeSales[[#This Row],[Unit_price]]</f>
        <v>630</v>
      </c>
      <c r="L153" s="5">
        <f>ShoeSales[[#This Row],[Quantity]]*ShoeSales[[#This Row],[Unit_cost]]</f>
        <v>348</v>
      </c>
      <c r="M153" s="5">
        <f>ShoeSales[[#This Row],[Revenue]]-ShoeSales[[#This Row],[Total_cost]]</f>
        <v>282</v>
      </c>
      <c r="N153" s="11">
        <f>ShoeSales[[#This Row],[Profit]]/ShoeSales[[#This Row],[Revenue]]</f>
        <v>0.44761904761904764</v>
      </c>
    </row>
    <row r="154" spans="1:14" ht="14.25" customHeight="1" x14ac:dyDescent="0.25">
      <c r="A154" s="7">
        <v>46199</v>
      </c>
      <c r="B154" s="14" t="s">
        <v>12</v>
      </c>
      <c r="C154" s="15" t="s">
        <v>37</v>
      </c>
      <c r="D154" s="15" t="s">
        <v>42</v>
      </c>
      <c r="E154" s="14" t="str">
        <f ca="1">PROPER(TRIM(CLEAN(ShoeSales[[#This Row],[Brand]])))</f>
        <v>Nike</v>
      </c>
      <c r="F154" s="15" t="s">
        <v>46</v>
      </c>
      <c r="G154" s="3">
        <v>8</v>
      </c>
      <c r="H154" s="15" t="s">
        <v>30</v>
      </c>
      <c r="I154" s="5">
        <f>VLOOKUP(ShoeSales[[#This Row],[Product]],Price!$A$2:C161,2,)</f>
        <v>112</v>
      </c>
      <c r="J154" s="5">
        <f>VLOOKUP(ShoeSales[[#This Row],[Product]],Price!$A$2:C161,3,)</f>
        <v>64</v>
      </c>
      <c r="K154" s="5">
        <f>ShoeSales[[#This Row],[Quantity]]*ShoeSales[[#This Row],[Unit_price]]</f>
        <v>896</v>
      </c>
      <c r="L154" s="5">
        <f>ShoeSales[[#This Row],[Quantity]]*ShoeSales[[#This Row],[Unit_cost]]</f>
        <v>512</v>
      </c>
      <c r="M154" s="5">
        <f>ShoeSales[[#This Row],[Revenue]]-ShoeSales[[#This Row],[Total_cost]]</f>
        <v>384</v>
      </c>
      <c r="N154" s="11">
        <f>ShoeSales[[#This Row],[Profit]]/ShoeSales[[#This Row],[Revenue]]</f>
        <v>0.42857142857142855</v>
      </c>
    </row>
    <row r="155" spans="1:14" ht="14.25" customHeight="1" x14ac:dyDescent="0.25">
      <c r="A155" s="8">
        <v>46092</v>
      </c>
      <c r="B155" s="14" t="s">
        <v>8</v>
      </c>
      <c r="C155" s="16" t="s">
        <v>27</v>
      </c>
      <c r="D155" s="16" t="s">
        <v>33</v>
      </c>
      <c r="E155" s="14" t="str">
        <f ca="1">PROPER(TRIM(CLEAN(ShoeSales[[#This Row],[Brand]])))</f>
        <v>Zara</v>
      </c>
      <c r="F155" s="16" t="s">
        <v>35</v>
      </c>
      <c r="G155" s="4">
        <v>13</v>
      </c>
      <c r="H155" s="16" t="s">
        <v>32</v>
      </c>
      <c r="I155" s="5">
        <f>VLOOKUP(ShoeSales[[#This Row],[Product]],Price!$A$2:C162,2,)</f>
        <v>76</v>
      </c>
      <c r="J155" s="5">
        <f>VLOOKUP(ShoeSales[[#This Row],[Product]],Price!$A$2:C162,3,)</f>
        <v>39</v>
      </c>
      <c r="K155" s="5">
        <f>ShoeSales[[#This Row],[Quantity]]*ShoeSales[[#This Row],[Unit_price]]</f>
        <v>988</v>
      </c>
      <c r="L155" s="5">
        <f>ShoeSales[[#This Row],[Quantity]]*ShoeSales[[#This Row],[Unit_cost]]</f>
        <v>507</v>
      </c>
      <c r="M155" s="5">
        <f>ShoeSales[[#This Row],[Revenue]]-ShoeSales[[#This Row],[Total_cost]]</f>
        <v>481</v>
      </c>
      <c r="N155" s="11">
        <f>ShoeSales[[#This Row],[Profit]]/ShoeSales[[#This Row],[Revenue]]</f>
        <v>0.48684210526315791</v>
      </c>
    </row>
    <row r="156" spans="1:14" ht="14.25" customHeight="1" x14ac:dyDescent="0.25">
      <c r="A156" s="7">
        <v>46194</v>
      </c>
      <c r="B156" s="14" t="s">
        <v>9</v>
      </c>
      <c r="C156" s="15" t="s">
        <v>27</v>
      </c>
      <c r="D156" s="15" t="s">
        <v>31</v>
      </c>
      <c r="E156" s="14" t="str">
        <f ca="1">PROPER(TRIM(CLEAN(ShoeSales[[#This Row],[Brand]])))</f>
        <v>Timberland</v>
      </c>
      <c r="F156" s="15" t="s">
        <v>34</v>
      </c>
      <c r="G156" s="3">
        <v>11</v>
      </c>
      <c r="H156" s="15" t="s">
        <v>32</v>
      </c>
      <c r="I156" s="5">
        <f>VLOOKUP(ShoeSales[[#This Row],[Product]],Price!$A$2:C163,2,)</f>
        <v>128</v>
      </c>
      <c r="J156" s="5">
        <f>VLOOKUP(ShoeSales[[#This Row],[Product]],Price!$A$2:C163,3,)</f>
        <v>72</v>
      </c>
      <c r="K156" s="5">
        <f>ShoeSales[[#This Row],[Quantity]]*ShoeSales[[#This Row],[Unit_price]]</f>
        <v>1408</v>
      </c>
      <c r="L156" s="5">
        <f>ShoeSales[[#This Row],[Quantity]]*ShoeSales[[#This Row],[Unit_cost]]</f>
        <v>792</v>
      </c>
      <c r="M156" s="5">
        <f>ShoeSales[[#This Row],[Revenue]]-ShoeSales[[#This Row],[Total_cost]]</f>
        <v>616</v>
      </c>
      <c r="N156" s="11">
        <f>ShoeSales[[#This Row],[Profit]]/ShoeSales[[#This Row],[Revenue]]</f>
        <v>0.4375</v>
      </c>
    </row>
    <row r="157" spans="1:14" ht="14.25" customHeight="1" x14ac:dyDescent="0.25">
      <c r="A157" s="8">
        <v>46179</v>
      </c>
      <c r="B157" s="14" t="s">
        <v>12</v>
      </c>
      <c r="C157" s="16" t="s">
        <v>27</v>
      </c>
      <c r="D157" s="16" t="s">
        <v>42</v>
      </c>
      <c r="E157" s="14" t="str">
        <f ca="1">PROPER(TRIM(CLEAN(ShoeSales[[#This Row],[Brand]])))</f>
        <v>Zara</v>
      </c>
      <c r="F157" s="16" t="s">
        <v>39</v>
      </c>
      <c r="G157" s="4">
        <v>8</v>
      </c>
      <c r="H157" s="16" t="s">
        <v>45</v>
      </c>
      <c r="I157" s="5">
        <f>VLOOKUP(ShoeSales[[#This Row],[Product]],Price!$A$2:C164,2,)</f>
        <v>112</v>
      </c>
      <c r="J157" s="5">
        <f>VLOOKUP(ShoeSales[[#This Row],[Product]],Price!$A$2:C164,3,)</f>
        <v>64</v>
      </c>
      <c r="K157" s="5">
        <f>ShoeSales[[#This Row],[Quantity]]*ShoeSales[[#This Row],[Unit_price]]</f>
        <v>896</v>
      </c>
      <c r="L157" s="5">
        <f>ShoeSales[[#This Row],[Quantity]]*ShoeSales[[#This Row],[Unit_cost]]</f>
        <v>512</v>
      </c>
      <c r="M157" s="5">
        <f>ShoeSales[[#This Row],[Revenue]]-ShoeSales[[#This Row],[Total_cost]]</f>
        <v>384</v>
      </c>
      <c r="N157" s="11">
        <f>ShoeSales[[#This Row],[Profit]]/ShoeSales[[#This Row],[Revenue]]</f>
        <v>0.42857142857142855</v>
      </c>
    </row>
    <row r="158" spans="1:14" ht="14.25" customHeight="1" x14ac:dyDescent="0.25">
      <c r="A158" s="7">
        <v>46024</v>
      </c>
      <c r="B158" s="14" t="s">
        <v>6</v>
      </c>
      <c r="C158" s="15" t="s">
        <v>27</v>
      </c>
      <c r="D158" s="15" t="s">
        <v>31</v>
      </c>
      <c r="E158" s="14" t="str">
        <f ca="1">PROPER(TRIM(CLEAN(ShoeSales[[#This Row],[Brand]])))</f>
        <v>Steve Madden</v>
      </c>
      <c r="F158" s="15" t="s">
        <v>44</v>
      </c>
      <c r="G158" s="3">
        <v>13</v>
      </c>
      <c r="H158" s="15" t="s">
        <v>45</v>
      </c>
      <c r="I158" s="5">
        <f>VLOOKUP(ShoeSales[[#This Row],[Product]],Price!$A$2:C165,2,)</f>
        <v>54</v>
      </c>
      <c r="J158" s="5">
        <f>VLOOKUP(ShoeSales[[#This Row],[Product]],Price!$A$2:C165,3,)</f>
        <v>28</v>
      </c>
      <c r="K158" s="5">
        <f>ShoeSales[[#This Row],[Quantity]]*ShoeSales[[#This Row],[Unit_price]]</f>
        <v>702</v>
      </c>
      <c r="L158" s="5">
        <f>ShoeSales[[#This Row],[Quantity]]*ShoeSales[[#This Row],[Unit_cost]]</f>
        <v>364</v>
      </c>
      <c r="M158" s="5">
        <f>ShoeSales[[#This Row],[Revenue]]-ShoeSales[[#This Row],[Total_cost]]</f>
        <v>338</v>
      </c>
      <c r="N158" s="11">
        <f>ShoeSales[[#This Row],[Profit]]/ShoeSales[[#This Row],[Revenue]]</f>
        <v>0.48148148148148145</v>
      </c>
    </row>
    <row r="159" spans="1:14" ht="14.25" customHeight="1" x14ac:dyDescent="0.25">
      <c r="A159" s="8">
        <v>46024</v>
      </c>
      <c r="B159" s="14" t="s">
        <v>5</v>
      </c>
      <c r="C159" s="16" t="s">
        <v>37</v>
      </c>
      <c r="D159" s="16" t="s">
        <v>38</v>
      </c>
      <c r="E159" s="14" t="str">
        <f ca="1">PROPER(TRIM(CLEAN(ShoeSales[[#This Row],[Brand]])))</f>
        <v>Zara</v>
      </c>
      <c r="F159" s="16" t="s">
        <v>34</v>
      </c>
      <c r="G159" s="4">
        <v>12</v>
      </c>
      <c r="H159" s="16" t="s">
        <v>41</v>
      </c>
      <c r="I159" s="5">
        <f>VLOOKUP(ShoeSales[[#This Row],[Product]],Price!$A$2:C166,2,)</f>
        <v>89</v>
      </c>
      <c r="J159" s="5">
        <f>VLOOKUP(ShoeSales[[#This Row],[Product]],Price!$A$2:C166,3,)</f>
        <v>47</v>
      </c>
      <c r="K159" s="5">
        <f>ShoeSales[[#This Row],[Quantity]]*ShoeSales[[#This Row],[Unit_price]]</f>
        <v>1068</v>
      </c>
      <c r="L159" s="5">
        <f>ShoeSales[[#This Row],[Quantity]]*ShoeSales[[#This Row],[Unit_cost]]</f>
        <v>564</v>
      </c>
      <c r="M159" s="5">
        <f>ShoeSales[[#This Row],[Revenue]]-ShoeSales[[#This Row],[Total_cost]]</f>
        <v>504</v>
      </c>
      <c r="N159" s="11">
        <f>ShoeSales[[#This Row],[Profit]]/ShoeSales[[#This Row],[Revenue]]</f>
        <v>0.47191011235955055</v>
      </c>
    </row>
    <row r="160" spans="1:14" ht="14.25" customHeight="1" x14ac:dyDescent="0.25">
      <c r="A160" s="7">
        <v>46106</v>
      </c>
      <c r="B160" s="14" t="s">
        <v>8</v>
      </c>
      <c r="C160" s="15" t="s">
        <v>48</v>
      </c>
      <c r="D160" s="15" t="s">
        <v>33</v>
      </c>
      <c r="E160" s="14" t="str">
        <f ca="1">PROPER(TRIM(CLEAN(ShoeSales[[#This Row],[Brand]])))</f>
        <v>Clarks</v>
      </c>
      <c r="F160" s="15" t="s">
        <v>46</v>
      </c>
      <c r="G160" s="3">
        <v>1</v>
      </c>
      <c r="H160" s="15" t="s">
        <v>32</v>
      </c>
      <c r="I160" s="5">
        <f>VLOOKUP(ShoeSales[[#This Row],[Product]],Price!$A$2:C167,2,)</f>
        <v>76</v>
      </c>
      <c r="J160" s="5">
        <f>VLOOKUP(ShoeSales[[#This Row],[Product]],Price!$A$2:C167,3,)</f>
        <v>39</v>
      </c>
      <c r="K160" s="5">
        <f>ShoeSales[[#This Row],[Quantity]]*ShoeSales[[#This Row],[Unit_price]]</f>
        <v>76</v>
      </c>
      <c r="L160" s="5">
        <f>ShoeSales[[#This Row],[Quantity]]*ShoeSales[[#This Row],[Unit_cost]]</f>
        <v>39</v>
      </c>
      <c r="M160" s="5">
        <f>ShoeSales[[#This Row],[Revenue]]-ShoeSales[[#This Row],[Total_cost]]</f>
        <v>37</v>
      </c>
      <c r="N160" s="11">
        <f>ShoeSales[[#This Row],[Profit]]/ShoeSales[[#This Row],[Revenue]]</f>
        <v>0.48684210526315791</v>
      </c>
    </row>
    <row r="161" spans="1:14" ht="14.25" customHeight="1" x14ac:dyDescent="0.25">
      <c r="A161" s="8">
        <v>46187</v>
      </c>
      <c r="B161" s="14" t="s">
        <v>6</v>
      </c>
      <c r="C161" s="16" t="s">
        <v>27</v>
      </c>
      <c r="D161" s="16" t="s">
        <v>28</v>
      </c>
      <c r="E161" s="14" t="str">
        <f ca="1">PROPER(TRIM(CLEAN(ShoeSales[[#This Row],[Brand]])))</f>
        <v>Clarks</v>
      </c>
      <c r="F161" s="16" t="s">
        <v>36</v>
      </c>
      <c r="G161" s="4">
        <v>10</v>
      </c>
      <c r="H161" s="16" t="s">
        <v>45</v>
      </c>
      <c r="I161" s="5">
        <f>VLOOKUP(ShoeSales[[#This Row],[Product]],Price!$A$2:C168,2,)</f>
        <v>54</v>
      </c>
      <c r="J161" s="5">
        <f>VLOOKUP(ShoeSales[[#This Row],[Product]],Price!$A$2:C168,3,)</f>
        <v>28</v>
      </c>
      <c r="K161" s="5">
        <f>ShoeSales[[#This Row],[Quantity]]*ShoeSales[[#This Row],[Unit_price]]</f>
        <v>540</v>
      </c>
      <c r="L161" s="5">
        <f>ShoeSales[[#This Row],[Quantity]]*ShoeSales[[#This Row],[Unit_cost]]</f>
        <v>280</v>
      </c>
      <c r="M161" s="5">
        <f>ShoeSales[[#This Row],[Revenue]]-ShoeSales[[#This Row],[Total_cost]]</f>
        <v>260</v>
      </c>
      <c r="N161" s="11">
        <f>ShoeSales[[#This Row],[Profit]]/ShoeSales[[#This Row],[Revenue]]</f>
        <v>0.48148148148148145</v>
      </c>
    </row>
    <row r="162" spans="1:14" ht="14.25" customHeight="1" x14ac:dyDescent="0.25">
      <c r="A162" s="7">
        <v>46124</v>
      </c>
      <c r="B162" s="14" t="s">
        <v>5</v>
      </c>
      <c r="C162" s="15" t="s">
        <v>48</v>
      </c>
      <c r="D162" s="15" t="s">
        <v>28</v>
      </c>
      <c r="E162" s="14" t="str">
        <f ca="1">PROPER(TRIM(CLEAN(ShoeSales[[#This Row],[Brand]])))</f>
        <v>Steve Madden</v>
      </c>
      <c r="F162" s="15" t="s">
        <v>36</v>
      </c>
      <c r="G162" s="3">
        <v>15</v>
      </c>
      <c r="H162" s="15" t="s">
        <v>41</v>
      </c>
      <c r="I162" s="5">
        <f>VLOOKUP(ShoeSales[[#This Row],[Product]],Price!$A$2:C169,2,)</f>
        <v>89</v>
      </c>
      <c r="J162" s="5">
        <f>VLOOKUP(ShoeSales[[#This Row],[Product]],Price!$A$2:C169,3,)</f>
        <v>47</v>
      </c>
      <c r="K162" s="5">
        <f>ShoeSales[[#This Row],[Quantity]]*ShoeSales[[#This Row],[Unit_price]]</f>
        <v>1335</v>
      </c>
      <c r="L162" s="5">
        <f>ShoeSales[[#This Row],[Quantity]]*ShoeSales[[#This Row],[Unit_cost]]</f>
        <v>705</v>
      </c>
      <c r="M162" s="5">
        <f>ShoeSales[[#This Row],[Revenue]]-ShoeSales[[#This Row],[Total_cost]]</f>
        <v>630</v>
      </c>
      <c r="N162" s="11">
        <f>ShoeSales[[#This Row],[Profit]]/ShoeSales[[#This Row],[Revenue]]</f>
        <v>0.47191011235955055</v>
      </c>
    </row>
    <row r="163" spans="1:14" ht="14.25" customHeight="1" x14ac:dyDescent="0.25">
      <c r="A163" s="8">
        <v>46086</v>
      </c>
      <c r="B163" s="14" t="s">
        <v>15</v>
      </c>
      <c r="C163" s="16" t="s">
        <v>27</v>
      </c>
      <c r="D163" s="16" t="s">
        <v>42</v>
      </c>
      <c r="E163" s="14" t="str">
        <f ca="1">PROPER(TRIM(CLEAN(ShoeSales[[#This Row],[Brand]])))</f>
        <v>Clarks</v>
      </c>
      <c r="F163" s="16" t="s">
        <v>35</v>
      </c>
      <c r="G163" s="4">
        <v>3</v>
      </c>
      <c r="H163" s="16" t="s">
        <v>45</v>
      </c>
      <c r="I163" s="5">
        <f>VLOOKUP(ShoeSales[[#This Row],[Product]],Price!$A$2:C170,2,)</f>
        <v>119</v>
      </c>
      <c r="J163" s="5">
        <f>VLOOKUP(ShoeSales[[#This Row],[Product]],Price!$A$2:C170,3,)</f>
        <v>67</v>
      </c>
      <c r="K163" s="5">
        <f>ShoeSales[[#This Row],[Quantity]]*ShoeSales[[#This Row],[Unit_price]]</f>
        <v>357</v>
      </c>
      <c r="L163" s="5">
        <f>ShoeSales[[#This Row],[Quantity]]*ShoeSales[[#This Row],[Unit_cost]]</f>
        <v>201</v>
      </c>
      <c r="M163" s="5">
        <f>ShoeSales[[#This Row],[Revenue]]-ShoeSales[[#This Row],[Total_cost]]</f>
        <v>156</v>
      </c>
      <c r="N163" s="11">
        <f>ShoeSales[[#This Row],[Profit]]/ShoeSales[[#This Row],[Revenue]]</f>
        <v>0.43697478991596639</v>
      </c>
    </row>
    <row r="164" spans="1:14" ht="14.25" customHeight="1" x14ac:dyDescent="0.25">
      <c r="A164" s="7">
        <v>46028</v>
      </c>
      <c r="B164" s="14" t="s">
        <v>8</v>
      </c>
      <c r="C164" s="15" t="s">
        <v>48</v>
      </c>
      <c r="D164" s="15" t="s">
        <v>38</v>
      </c>
      <c r="E164" s="14" t="str">
        <f ca="1">PROPER(TRIM(CLEAN(ShoeSales[[#This Row],[Brand]])))</f>
        <v>Steve Madden</v>
      </c>
      <c r="F164" s="15" t="s">
        <v>34</v>
      </c>
      <c r="G164" s="3">
        <v>1</v>
      </c>
      <c r="H164" s="15" t="s">
        <v>30</v>
      </c>
      <c r="I164" s="5">
        <f>VLOOKUP(ShoeSales[[#This Row],[Product]],Price!$A$2:C171,2,)</f>
        <v>76</v>
      </c>
      <c r="J164" s="5">
        <f>VLOOKUP(ShoeSales[[#This Row],[Product]],Price!$A$2:C171,3,)</f>
        <v>39</v>
      </c>
      <c r="K164" s="5">
        <f>ShoeSales[[#This Row],[Quantity]]*ShoeSales[[#This Row],[Unit_price]]</f>
        <v>76</v>
      </c>
      <c r="L164" s="5">
        <f>ShoeSales[[#This Row],[Quantity]]*ShoeSales[[#This Row],[Unit_cost]]</f>
        <v>39</v>
      </c>
      <c r="M164" s="5">
        <f>ShoeSales[[#This Row],[Revenue]]-ShoeSales[[#This Row],[Total_cost]]</f>
        <v>37</v>
      </c>
      <c r="N164" s="11">
        <f>ShoeSales[[#This Row],[Profit]]/ShoeSales[[#This Row],[Revenue]]</f>
        <v>0.48684210526315791</v>
      </c>
    </row>
    <row r="165" spans="1:14" ht="14.25" customHeight="1" x14ac:dyDescent="0.25">
      <c r="A165" s="8">
        <v>46218</v>
      </c>
      <c r="B165" s="14" t="s">
        <v>6</v>
      </c>
      <c r="C165" s="16" t="s">
        <v>48</v>
      </c>
      <c r="D165" s="16" t="s">
        <v>28</v>
      </c>
      <c r="E165" s="14" t="str">
        <f ca="1">PROPER(TRIM(CLEAN(ShoeSales[[#This Row],[Brand]])))</f>
        <v>Clarks</v>
      </c>
      <c r="F165" s="16" t="s">
        <v>39</v>
      </c>
      <c r="G165" s="4">
        <v>9</v>
      </c>
      <c r="H165" s="16" t="s">
        <v>41</v>
      </c>
      <c r="I165" s="5">
        <f>VLOOKUP(ShoeSales[[#This Row],[Product]],Price!$A$2:C172,2,)</f>
        <v>54</v>
      </c>
      <c r="J165" s="5">
        <f>VLOOKUP(ShoeSales[[#This Row],[Product]],Price!$A$2:C172,3,)</f>
        <v>28</v>
      </c>
      <c r="K165" s="5">
        <f>ShoeSales[[#This Row],[Quantity]]*ShoeSales[[#This Row],[Unit_price]]</f>
        <v>486</v>
      </c>
      <c r="L165" s="5">
        <f>ShoeSales[[#This Row],[Quantity]]*ShoeSales[[#This Row],[Unit_cost]]</f>
        <v>252</v>
      </c>
      <c r="M165" s="5">
        <f>ShoeSales[[#This Row],[Revenue]]-ShoeSales[[#This Row],[Total_cost]]</f>
        <v>234</v>
      </c>
      <c r="N165" s="11">
        <f>ShoeSales[[#This Row],[Profit]]/ShoeSales[[#This Row],[Revenue]]</f>
        <v>0.48148148148148145</v>
      </c>
    </row>
    <row r="166" spans="1:14" ht="14.25" customHeight="1" x14ac:dyDescent="0.25">
      <c r="A166" s="7">
        <v>46147</v>
      </c>
      <c r="B166" s="14" t="s">
        <v>7</v>
      </c>
      <c r="C166" s="15" t="s">
        <v>37</v>
      </c>
      <c r="D166" s="15" t="s">
        <v>31</v>
      </c>
      <c r="E166" s="14" t="str">
        <f ca="1">PROPER(TRIM(CLEAN(ShoeSales[[#This Row],[Brand]])))</f>
        <v>Zara</v>
      </c>
      <c r="F166" s="15" t="s">
        <v>44</v>
      </c>
      <c r="G166" s="3">
        <v>13</v>
      </c>
      <c r="H166" s="15" t="s">
        <v>30</v>
      </c>
      <c r="I166" s="5">
        <f>VLOOKUP(ShoeSales[[#This Row],[Product]],Price!$A$2:C173,2,)</f>
        <v>32</v>
      </c>
      <c r="J166" s="5">
        <f>VLOOKUP(ShoeSales[[#This Row],[Product]],Price!$A$2:C173,3,)</f>
        <v>14</v>
      </c>
      <c r="K166" s="5">
        <f>ShoeSales[[#This Row],[Quantity]]*ShoeSales[[#This Row],[Unit_price]]</f>
        <v>416</v>
      </c>
      <c r="L166" s="5">
        <f>ShoeSales[[#This Row],[Quantity]]*ShoeSales[[#This Row],[Unit_cost]]</f>
        <v>182</v>
      </c>
      <c r="M166" s="5">
        <f>ShoeSales[[#This Row],[Revenue]]-ShoeSales[[#This Row],[Total_cost]]</f>
        <v>234</v>
      </c>
      <c r="N166" s="11">
        <f>ShoeSales[[#This Row],[Profit]]/ShoeSales[[#This Row],[Revenue]]</f>
        <v>0.5625</v>
      </c>
    </row>
    <row r="167" spans="1:14" ht="14.25" customHeight="1" x14ac:dyDescent="0.25">
      <c r="A167" s="8">
        <v>46187</v>
      </c>
      <c r="B167" s="14" t="s">
        <v>15</v>
      </c>
      <c r="C167" s="16" t="s">
        <v>52</v>
      </c>
      <c r="D167" s="16" t="s">
        <v>31</v>
      </c>
      <c r="E167" s="14" t="str">
        <f ca="1">PROPER(TRIM(CLEAN(ShoeSales[[#This Row],[Brand]])))</f>
        <v>Clarks</v>
      </c>
      <c r="F167" s="16" t="s">
        <v>49</v>
      </c>
      <c r="G167" s="4">
        <v>10</v>
      </c>
      <c r="H167" s="16" t="s">
        <v>32</v>
      </c>
      <c r="I167" s="5">
        <f>VLOOKUP(ShoeSales[[#This Row],[Product]],Price!$A$2:C174,2,)</f>
        <v>119</v>
      </c>
      <c r="J167" s="5">
        <f>VLOOKUP(ShoeSales[[#This Row],[Product]],Price!$A$2:C174,3,)</f>
        <v>67</v>
      </c>
      <c r="K167" s="5">
        <f>ShoeSales[[#This Row],[Quantity]]*ShoeSales[[#This Row],[Unit_price]]</f>
        <v>1190</v>
      </c>
      <c r="L167" s="5">
        <f>ShoeSales[[#This Row],[Quantity]]*ShoeSales[[#This Row],[Unit_cost]]</f>
        <v>670</v>
      </c>
      <c r="M167" s="5">
        <f>ShoeSales[[#This Row],[Revenue]]-ShoeSales[[#This Row],[Total_cost]]</f>
        <v>520</v>
      </c>
      <c r="N167" s="11">
        <f>ShoeSales[[#This Row],[Profit]]/ShoeSales[[#This Row],[Revenue]]</f>
        <v>0.43697478991596639</v>
      </c>
    </row>
    <row r="168" spans="1:14" ht="14.25" customHeight="1" x14ac:dyDescent="0.25">
      <c r="A168" s="7">
        <v>46179</v>
      </c>
      <c r="B168" s="14" t="s">
        <v>5</v>
      </c>
      <c r="C168" s="15" t="s">
        <v>27</v>
      </c>
      <c r="D168" s="15" t="s">
        <v>33</v>
      </c>
      <c r="E168" s="14" t="str">
        <f ca="1">PROPER(TRIM(CLEAN(ShoeSales[[#This Row],[Brand]])))</f>
        <v>Nike</v>
      </c>
      <c r="F168" s="15" t="s">
        <v>50</v>
      </c>
      <c r="G168" s="3">
        <v>10</v>
      </c>
      <c r="H168" s="15" t="s">
        <v>30</v>
      </c>
      <c r="I168" s="5">
        <f>VLOOKUP(ShoeSales[[#This Row],[Product]],Price!$A$2:C175,2,)</f>
        <v>89</v>
      </c>
      <c r="J168" s="5">
        <f>VLOOKUP(ShoeSales[[#This Row],[Product]],Price!$A$2:C175,3,)</f>
        <v>47</v>
      </c>
      <c r="K168" s="5">
        <f>ShoeSales[[#This Row],[Quantity]]*ShoeSales[[#This Row],[Unit_price]]</f>
        <v>890</v>
      </c>
      <c r="L168" s="5">
        <f>ShoeSales[[#This Row],[Quantity]]*ShoeSales[[#This Row],[Unit_cost]]</f>
        <v>470</v>
      </c>
      <c r="M168" s="5">
        <f>ShoeSales[[#This Row],[Revenue]]-ShoeSales[[#This Row],[Total_cost]]</f>
        <v>420</v>
      </c>
      <c r="N168" s="11">
        <f>ShoeSales[[#This Row],[Profit]]/ShoeSales[[#This Row],[Revenue]]</f>
        <v>0.47191011235955055</v>
      </c>
    </row>
    <row r="169" spans="1:14" ht="14.25" customHeight="1" x14ac:dyDescent="0.25">
      <c r="A169" s="8">
        <v>46220</v>
      </c>
      <c r="B169" s="14" t="s">
        <v>9</v>
      </c>
      <c r="C169" s="16" t="s">
        <v>27</v>
      </c>
      <c r="D169" s="16" t="s">
        <v>42</v>
      </c>
      <c r="E169" s="14" t="str">
        <f ca="1">PROPER(TRIM(CLEAN(ShoeSales[[#This Row],[Brand]])))</f>
        <v>Zara</v>
      </c>
      <c r="F169" s="16" t="s">
        <v>40</v>
      </c>
      <c r="G169" s="4">
        <v>15</v>
      </c>
      <c r="H169" s="16" t="s">
        <v>32</v>
      </c>
      <c r="I169" s="5">
        <f>VLOOKUP(ShoeSales[[#This Row],[Product]],Price!$A$2:C176,2,)</f>
        <v>128</v>
      </c>
      <c r="J169" s="5">
        <f>VLOOKUP(ShoeSales[[#This Row],[Product]],Price!$A$2:C176,3,)</f>
        <v>72</v>
      </c>
      <c r="K169" s="5">
        <f>ShoeSales[[#This Row],[Quantity]]*ShoeSales[[#This Row],[Unit_price]]</f>
        <v>1920</v>
      </c>
      <c r="L169" s="5">
        <f>ShoeSales[[#This Row],[Quantity]]*ShoeSales[[#This Row],[Unit_cost]]</f>
        <v>1080</v>
      </c>
      <c r="M169" s="5">
        <f>ShoeSales[[#This Row],[Revenue]]-ShoeSales[[#This Row],[Total_cost]]</f>
        <v>840</v>
      </c>
      <c r="N169" s="11">
        <f>ShoeSales[[#This Row],[Profit]]/ShoeSales[[#This Row],[Revenue]]</f>
        <v>0.4375</v>
      </c>
    </row>
    <row r="170" spans="1:14" ht="14.25" customHeight="1" x14ac:dyDescent="0.25">
      <c r="A170" s="7">
        <v>46140</v>
      </c>
      <c r="B170" s="14" t="s">
        <v>7</v>
      </c>
      <c r="C170" s="15" t="s">
        <v>48</v>
      </c>
      <c r="D170" s="15" t="s">
        <v>28</v>
      </c>
      <c r="E170" s="14" t="str">
        <f ca="1">PROPER(TRIM(CLEAN(ShoeSales[[#This Row],[Brand]])))</f>
        <v>Zara</v>
      </c>
      <c r="F170" s="15" t="s">
        <v>43</v>
      </c>
      <c r="G170" s="3">
        <v>9</v>
      </c>
      <c r="H170" s="15" t="s">
        <v>45</v>
      </c>
      <c r="I170" s="5">
        <f>VLOOKUP(ShoeSales[[#This Row],[Product]],Price!$A$2:C177,2,)</f>
        <v>32</v>
      </c>
      <c r="J170" s="5">
        <f>VLOOKUP(ShoeSales[[#This Row],[Product]],Price!$A$2:C177,3,)</f>
        <v>14</v>
      </c>
      <c r="K170" s="5">
        <f>ShoeSales[[#This Row],[Quantity]]*ShoeSales[[#This Row],[Unit_price]]</f>
        <v>288</v>
      </c>
      <c r="L170" s="5">
        <f>ShoeSales[[#This Row],[Quantity]]*ShoeSales[[#This Row],[Unit_cost]]</f>
        <v>126</v>
      </c>
      <c r="M170" s="5">
        <f>ShoeSales[[#This Row],[Revenue]]-ShoeSales[[#This Row],[Total_cost]]</f>
        <v>162</v>
      </c>
      <c r="N170" s="11">
        <f>ShoeSales[[#This Row],[Profit]]/ShoeSales[[#This Row],[Revenue]]</f>
        <v>0.5625</v>
      </c>
    </row>
    <row r="171" spans="1:14" ht="14.25" customHeight="1" x14ac:dyDescent="0.25">
      <c r="A171" s="8">
        <v>46198</v>
      </c>
      <c r="B171" s="14" t="s">
        <v>12</v>
      </c>
      <c r="C171" s="16" t="s">
        <v>48</v>
      </c>
      <c r="D171" s="16" t="s">
        <v>42</v>
      </c>
      <c r="E171" s="14" t="str">
        <f ca="1">PROPER(TRIM(CLEAN(ShoeSales[[#This Row],[Brand]])))</f>
        <v>Steve Madden</v>
      </c>
      <c r="F171" s="16" t="s">
        <v>50</v>
      </c>
      <c r="G171" s="4">
        <v>14</v>
      </c>
      <c r="H171" s="16" t="s">
        <v>41</v>
      </c>
      <c r="I171" s="5">
        <f>VLOOKUP(ShoeSales[[#This Row],[Product]],Price!$A$2:C178,2,)</f>
        <v>112</v>
      </c>
      <c r="J171" s="5">
        <f>VLOOKUP(ShoeSales[[#This Row],[Product]],Price!$A$2:C178,3,)</f>
        <v>64</v>
      </c>
      <c r="K171" s="5">
        <f>ShoeSales[[#This Row],[Quantity]]*ShoeSales[[#This Row],[Unit_price]]</f>
        <v>1568</v>
      </c>
      <c r="L171" s="5">
        <f>ShoeSales[[#This Row],[Quantity]]*ShoeSales[[#This Row],[Unit_cost]]</f>
        <v>896</v>
      </c>
      <c r="M171" s="5">
        <f>ShoeSales[[#This Row],[Revenue]]-ShoeSales[[#This Row],[Total_cost]]</f>
        <v>672</v>
      </c>
      <c r="N171" s="11">
        <f>ShoeSales[[#This Row],[Profit]]/ShoeSales[[#This Row],[Revenue]]</f>
        <v>0.42857142857142855</v>
      </c>
    </row>
    <row r="172" spans="1:14" ht="14.25" customHeight="1" x14ac:dyDescent="0.25">
      <c r="A172" s="7">
        <v>46120</v>
      </c>
      <c r="B172" s="14" t="s">
        <v>12</v>
      </c>
      <c r="C172" s="15" t="s">
        <v>27</v>
      </c>
      <c r="D172" s="15" t="s">
        <v>31</v>
      </c>
      <c r="E172" s="14" t="str">
        <f ca="1">PROPER(TRIM(CLEAN(ShoeSales[[#This Row],[Brand]])))</f>
        <v>Clarks</v>
      </c>
      <c r="F172" s="15" t="s">
        <v>39</v>
      </c>
      <c r="G172" s="3">
        <v>14</v>
      </c>
      <c r="H172" s="15" t="s">
        <v>45</v>
      </c>
      <c r="I172" s="5">
        <f>VLOOKUP(ShoeSales[[#This Row],[Product]],Price!$A$2:C179,2,)</f>
        <v>112</v>
      </c>
      <c r="J172" s="5">
        <f>VLOOKUP(ShoeSales[[#This Row],[Product]],Price!$A$2:C179,3,)</f>
        <v>64</v>
      </c>
      <c r="K172" s="5">
        <f>ShoeSales[[#This Row],[Quantity]]*ShoeSales[[#This Row],[Unit_price]]</f>
        <v>1568</v>
      </c>
      <c r="L172" s="5">
        <f>ShoeSales[[#This Row],[Quantity]]*ShoeSales[[#This Row],[Unit_cost]]</f>
        <v>896</v>
      </c>
      <c r="M172" s="5">
        <f>ShoeSales[[#This Row],[Revenue]]-ShoeSales[[#This Row],[Total_cost]]</f>
        <v>672</v>
      </c>
      <c r="N172" s="11">
        <f>ShoeSales[[#This Row],[Profit]]/ShoeSales[[#This Row],[Revenue]]</f>
        <v>0.42857142857142855</v>
      </c>
    </row>
    <row r="173" spans="1:14" ht="14.25" customHeight="1" x14ac:dyDescent="0.25">
      <c r="A173" s="8">
        <v>46246</v>
      </c>
      <c r="B173" s="14" t="s">
        <v>9</v>
      </c>
      <c r="C173" s="16" t="s">
        <v>27</v>
      </c>
      <c r="D173" s="16" t="s">
        <v>31</v>
      </c>
      <c r="E173" s="14" t="str">
        <f ca="1">PROPER(TRIM(CLEAN(ShoeSales[[#This Row],[Brand]])))</f>
        <v>Zara</v>
      </c>
      <c r="F173" s="16" t="s">
        <v>40</v>
      </c>
      <c r="G173" s="4">
        <v>10</v>
      </c>
      <c r="H173" s="16" t="s">
        <v>32</v>
      </c>
      <c r="I173" s="5">
        <f>VLOOKUP(ShoeSales[[#This Row],[Product]],Price!$A$2:C180,2,)</f>
        <v>128</v>
      </c>
      <c r="J173" s="5">
        <f>VLOOKUP(ShoeSales[[#This Row],[Product]],Price!$A$2:C180,3,)</f>
        <v>72</v>
      </c>
      <c r="K173" s="5">
        <f>ShoeSales[[#This Row],[Quantity]]*ShoeSales[[#This Row],[Unit_price]]</f>
        <v>1280</v>
      </c>
      <c r="L173" s="5">
        <f>ShoeSales[[#This Row],[Quantity]]*ShoeSales[[#This Row],[Unit_cost]]</f>
        <v>720</v>
      </c>
      <c r="M173" s="5">
        <f>ShoeSales[[#This Row],[Revenue]]-ShoeSales[[#This Row],[Total_cost]]</f>
        <v>560</v>
      </c>
      <c r="N173" s="11">
        <f>ShoeSales[[#This Row],[Profit]]/ShoeSales[[#This Row],[Revenue]]</f>
        <v>0.4375</v>
      </c>
    </row>
    <row r="174" spans="1:14" ht="14.25" customHeight="1" x14ac:dyDescent="0.25">
      <c r="A174" s="7">
        <v>46072</v>
      </c>
      <c r="B174" s="14" t="s">
        <v>12</v>
      </c>
      <c r="C174" s="15" t="s">
        <v>48</v>
      </c>
      <c r="D174" s="15" t="s">
        <v>33</v>
      </c>
      <c r="E174" s="14" t="str">
        <f ca="1">PROPER(TRIM(CLEAN(ShoeSales[[#This Row],[Brand]])))</f>
        <v>Zara</v>
      </c>
      <c r="F174" s="15" t="s">
        <v>43</v>
      </c>
      <c r="G174" s="3">
        <v>15</v>
      </c>
      <c r="H174" s="15" t="s">
        <v>30</v>
      </c>
      <c r="I174" s="5">
        <f>VLOOKUP(ShoeSales[[#This Row],[Product]],Price!$A$2:C181,2,)</f>
        <v>112</v>
      </c>
      <c r="J174" s="5">
        <f>VLOOKUP(ShoeSales[[#This Row],[Product]],Price!$A$2:C181,3,)</f>
        <v>64</v>
      </c>
      <c r="K174" s="5">
        <f>ShoeSales[[#This Row],[Quantity]]*ShoeSales[[#This Row],[Unit_price]]</f>
        <v>1680</v>
      </c>
      <c r="L174" s="5">
        <f>ShoeSales[[#This Row],[Quantity]]*ShoeSales[[#This Row],[Unit_cost]]</f>
        <v>960</v>
      </c>
      <c r="M174" s="5">
        <f>ShoeSales[[#This Row],[Revenue]]-ShoeSales[[#This Row],[Total_cost]]</f>
        <v>720</v>
      </c>
      <c r="N174" s="11">
        <f>ShoeSales[[#This Row],[Profit]]/ShoeSales[[#This Row],[Revenue]]</f>
        <v>0.42857142857142855</v>
      </c>
    </row>
    <row r="175" spans="1:14" ht="14.25" customHeight="1" x14ac:dyDescent="0.25">
      <c r="A175" s="8">
        <v>46197</v>
      </c>
      <c r="B175" s="14" t="s">
        <v>7</v>
      </c>
      <c r="C175" s="16" t="s">
        <v>48</v>
      </c>
      <c r="D175" s="16" t="s">
        <v>38</v>
      </c>
      <c r="E175" s="14" t="str">
        <f ca="1">PROPER(TRIM(CLEAN(ShoeSales[[#This Row],[Brand]])))</f>
        <v>Timberland</v>
      </c>
      <c r="F175" s="16" t="s">
        <v>44</v>
      </c>
      <c r="G175" s="4">
        <v>5</v>
      </c>
      <c r="H175" s="16" t="s">
        <v>45</v>
      </c>
      <c r="I175" s="5">
        <f>VLOOKUP(ShoeSales[[#This Row],[Product]],Price!$A$2:C182,2,)</f>
        <v>32</v>
      </c>
      <c r="J175" s="5">
        <f>VLOOKUP(ShoeSales[[#This Row],[Product]],Price!$A$2:C182,3,)</f>
        <v>14</v>
      </c>
      <c r="K175" s="5">
        <f>ShoeSales[[#This Row],[Quantity]]*ShoeSales[[#This Row],[Unit_price]]</f>
        <v>160</v>
      </c>
      <c r="L175" s="5">
        <f>ShoeSales[[#This Row],[Quantity]]*ShoeSales[[#This Row],[Unit_cost]]</f>
        <v>70</v>
      </c>
      <c r="M175" s="5">
        <f>ShoeSales[[#This Row],[Revenue]]-ShoeSales[[#This Row],[Total_cost]]</f>
        <v>90</v>
      </c>
      <c r="N175" s="11">
        <f>ShoeSales[[#This Row],[Profit]]/ShoeSales[[#This Row],[Revenue]]</f>
        <v>0.5625</v>
      </c>
    </row>
    <row r="176" spans="1:14" ht="14.25" customHeight="1" x14ac:dyDescent="0.25">
      <c r="A176" s="7">
        <v>46057</v>
      </c>
      <c r="B176" s="14" t="s">
        <v>7</v>
      </c>
      <c r="C176" s="15" t="s">
        <v>27</v>
      </c>
      <c r="D176" s="15" t="s">
        <v>42</v>
      </c>
      <c r="E176" s="14" t="str">
        <f ca="1">PROPER(TRIM(CLEAN(ShoeSales[[#This Row],[Brand]])))</f>
        <v>Timberland</v>
      </c>
      <c r="F176" s="15" t="s">
        <v>44</v>
      </c>
      <c r="G176" s="3">
        <v>15</v>
      </c>
      <c r="H176" s="15" t="s">
        <v>30</v>
      </c>
      <c r="I176" s="5">
        <f>VLOOKUP(ShoeSales[[#This Row],[Product]],Price!$A$2:C183,2,)</f>
        <v>32</v>
      </c>
      <c r="J176" s="5">
        <f>VLOOKUP(ShoeSales[[#This Row],[Product]],Price!$A$2:C183,3,)</f>
        <v>14</v>
      </c>
      <c r="K176" s="5">
        <f>ShoeSales[[#This Row],[Quantity]]*ShoeSales[[#This Row],[Unit_price]]</f>
        <v>480</v>
      </c>
      <c r="L176" s="5">
        <f>ShoeSales[[#This Row],[Quantity]]*ShoeSales[[#This Row],[Unit_cost]]</f>
        <v>210</v>
      </c>
      <c r="M176" s="5">
        <f>ShoeSales[[#This Row],[Revenue]]-ShoeSales[[#This Row],[Total_cost]]</f>
        <v>270</v>
      </c>
      <c r="N176" s="11">
        <f>ShoeSales[[#This Row],[Profit]]/ShoeSales[[#This Row],[Revenue]]</f>
        <v>0.5625</v>
      </c>
    </row>
    <row r="177" spans="1:14" ht="14.25" customHeight="1" x14ac:dyDescent="0.25">
      <c r="A177" s="8">
        <v>46033</v>
      </c>
      <c r="B177" s="14" t="s">
        <v>9</v>
      </c>
      <c r="C177" s="16" t="s">
        <v>48</v>
      </c>
      <c r="D177" s="16" t="s">
        <v>31</v>
      </c>
      <c r="E177" s="14" t="str">
        <f ca="1">PROPER(TRIM(CLEAN(ShoeSales[[#This Row],[Brand]])))</f>
        <v>Timberland</v>
      </c>
      <c r="F177" s="16" t="s">
        <v>49</v>
      </c>
      <c r="G177" s="4">
        <v>13</v>
      </c>
      <c r="H177" s="16" t="s">
        <v>41</v>
      </c>
      <c r="I177" s="5">
        <f>VLOOKUP(ShoeSales[[#This Row],[Product]],Price!$A$2:C184,2,)</f>
        <v>128</v>
      </c>
      <c r="J177" s="5">
        <f>VLOOKUP(ShoeSales[[#This Row],[Product]],Price!$A$2:C184,3,)</f>
        <v>72</v>
      </c>
      <c r="K177" s="5">
        <f>ShoeSales[[#This Row],[Quantity]]*ShoeSales[[#This Row],[Unit_price]]</f>
        <v>1664</v>
      </c>
      <c r="L177" s="5">
        <f>ShoeSales[[#This Row],[Quantity]]*ShoeSales[[#This Row],[Unit_cost]]</f>
        <v>936</v>
      </c>
      <c r="M177" s="5">
        <f>ShoeSales[[#This Row],[Revenue]]-ShoeSales[[#This Row],[Total_cost]]</f>
        <v>728</v>
      </c>
      <c r="N177" s="11">
        <f>ShoeSales[[#This Row],[Profit]]/ShoeSales[[#This Row],[Revenue]]</f>
        <v>0.4375</v>
      </c>
    </row>
    <row r="178" spans="1:14" ht="14.25" customHeight="1" x14ac:dyDescent="0.25">
      <c r="A178" s="7">
        <v>46241</v>
      </c>
      <c r="B178" s="14" t="s">
        <v>12</v>
      </c>
      <c r="C178" s="15" t="s">
        <v>52</v>
      </c>
      <c r="D178" s="15" t="s">
        <v>33</v>
      </c>
      <c r="E178" s="14" t="str">
        <f ca="1">PROPER(TRIM(CLEAN(ShoeSales[[#This Row],[Brand]])))</f>
        <v>Timberland</v>
      </c>
      <c r="F178" s="15" t="s">
        <v>34</v>
      </c>
      <c r="G178" s="3">
        <v>9</v>
      </c>
      <c r="H178" s="15" t="s">
        <v>41</v>
      </c>
      <c r="I178" s="5">
        <f>VLOOKUP(ShoeSales[[#This Row],[Product]],Price!$A$2:C185,2,)</f>
        <v>112</v>
      </c>
      <c r="J178" s="5">
        <f>VLOOKUP(ShoeSales[[#This Row],[Product]],Price!$A$2:C185,3,)</f>
        <v>64</v>
      </c>
      <c r="K178" s="5">
        <f>ShoeSales[[#This Row],[Quantity]]*ShoeSales[[#This Row],[Unit_price]]</f>
        <v>1008</v>
      </c>
      <c r="L178" s="5">
        <f>ShoeSales[[#This Row],[Quantity]]*ShoeSales[[#This Row],[Unit_cost]]</f>
        <v>576</v>
      </c>
      <c r="M178" s="5">
        <f>ShoeSales[[#This Row],[Revenue]]-ShoeSales[[#This Row],[Total_cost]]</f>
        <v>432</v>
      </c>
      <c r="N178" s="11">
        <f>ShoeSales[[#This Row],[Profit]]/ShoeSales[[#This Row],[Revenue]]</f>
        <v>0.42857142857142855</v>
      </c>
    </row>
    <row r="179" spans="1:14" ht="14.25" customHeight="1" x14ac:dyDescent="0.25">
      <c r="A179" s="8">
        <v>46123</v>
      </c>
      <c r="B179" s="14" t="s">
        <v>7</v>
      </c>
      <c r="C179" s="16" t="s">
        <v>37</v>
      </c>
      <c r="D179" s="16" t="s">
        <v>31</v>
      </c>
      <c r="E179" s="14" t="str">
        <f ca="1">PROPER(TRIM(CLEAN(ShoeSales[[#This Row],[Brand]])))</f>
        <v>Clarks</v>
      </c>
      <c r="F179" s="16" t="s">
        <v>49</v>
      </c>
      <c r="G179" s="4">
        <v>9</v>
      </c>
      <c r="H179" s="16" t="s">
        <v>32</v>
      </c>
      <c r="I179" s="5">
        <f>VLOOKUP(ShoeSales[[#This Row],[Product]],Price!$A$2:C186,2,)</f>
        <v>32</v>
      </c>
      <c r="J179" s="5">
        <f>VLOOKUP(ShoeSales[[#This Row],[Product]],Price!$A$2:C186,3,)</f>
        <v>14</v>
      </c>
      <c r="K179" s="5">
        <f>ShoeSales[[#This Row],[Quantity]]*ShoeSales[[#This Row],[Unit_price]]</f>
        <v>288</v>
      </c>
      <c r="L179" s="5">
        <f>ShoeSales[[#This Row],[Quantity]]*ShoeSales[[#This Row],[Unit_cost]]</f>
        <v>126</v>
      </c>
      <c r="M179" s="5">
        <f>ShoeSales[[#This Row],[Revenue]]-ShoeSales[[#This Row],[Total_cost]]</f>
        <v>162</v>
      </c>
      <c r="N179" s="11">
        <f>ShoeSales[[#This Row],[Profit]]/ShoeSales[[#This Row],[Revenue]]</f>
        <v>0.5625</v>
      </c>
    </row>
    <row r="180" spans="1:14" ht="14.25" customHeight="1" x14ac:dyDescent="0.25">
      <c r="A180" s="7">
        <v>46026</v>
      </c>
      <c r="B180" s="14" t="s">
        <v>15</v>
      </c>
      <c r="C180" s="15" t="s">
        <v>48</v>
      </c>
      <c r="D180" s="15" t="s">
        <v>33</v>
      </c>
      <c r="E180" s="14" t="str">
        <f ca="1">PROPER(TRIM(CLEAN(ShoeSales[[#This Row],[Brand]])))</f>
        <v>Clarks</v>
      </c>
      <c r="F180" s="15" t="s">
        <v>50</v>
      </c>
      <c r="G180" s="3">
        <v>9</v>
      </c>
      <c r="H180" s="15" t="s">
        <v>32</v>
      </c>
      <c r="I180" s="5">
        <f>VLOOKUP(ShoeSales[[#This Row],[Product]],Price!$A$2:C187,2,)</f>
        <v>119</v>
      </c>
      <c r="J180" s="5">
        <f>VLOOKUP(ShoeSales[[#This Row],[Product]],Price!$A$2:C187,3,)</f>
        <v>67</v>
      </c>
      <c r="K180" s="5">
        <f>ShoeSales[[#This Row],[Quantity]]*ShoeSales[[#This Row],[Unit_price]]</f>
        <v>1071</v>
      </c>
      <c r="L180" s="5">
        <f>ShoeSales[[#This Row],[Quantity]]*ShoeSales[[#This Row],[Unit_cost]]</f>
        <v>603</v>
      </c>
      <c r="M180" s="5">
        <f>ShoeSales[[#This Row],[Revenue]]-ShoeSales[[#This Row],[Total_cost]]</f>
        <v>468</v>
      </c>
      <c r="N180" s="11">
        <f>ShoeSales[[#This Row],[Profit]]/ShoeSales[[#This Row],[Revenue]]</f>
        <v>0.43697478991596639</v>
      </c>
    </row>
    <row r="181" spans="1:14" ht="14.25" customHeight="1" x14ac:dyDescent="0.25">
      <c r="A181" s="8">
        <v>46089</v>
      </c>
      <c r="B181" s="14" t="s">
        <v>9</v>
      </c>
      <c r="C181" s="16" t="s">
        <v>27</v>
      </c>
      <c r="D181" s="16" t="s">
        <v>38</v>
      </c>
      <c r="E181" s="14" t="str">
        <f ca="1">PROPER(TRIM(CLEAN(ShoeSales[[#This Row],[Brand]])))</f>
        <v>Timberland</v>
      </c>
      <c r="F181" s="16" t="s">
        <v>43</v>
      </c>
      <c r="G181" s="4">
        <v>3</v>
      </c>
      <c r="H181" s="16" t="s">
        <v>41</v>
      </c>
      <c r="I181" s="5">
        <f>VLOOKUP(ShoeSales[[#This Row],[Product]],Price!$A$2:C188,2,)</f>
        <v>128</v>
      </c>
      <c r="J181" s="5">
        <f>VLOOKUP(ShoeSales[[#This Row],[Product]],Price!$A$2:C188,3,)</f>
        <v>72</v>
      </c>
      <c r="K181" s="5">
        <f>ShoeSales[[#This Row],[Quantity]]*ShoeSales[[#This Row],[Unit_price]]</f>
        <v>384</v>
      </c>
      <c r="L181" s="5">
        <f>ShoeSales[[#This Row],[Quantity]]*ShoeSales[[#This Row],[Unit_cost]]</f>
        <v>216</v>
      </c>
      <c r="M181" s="5">
        <f>ShoeSales[[#This Row],[Revenue]]-ShoeSales[[#This Row],[Total_cost]]</f>
        <v>168</v>
      </c>
      <c r="N181" s="11">
        <f>ShoeSales[[#This Row],[Profit]]/ShoeSales[[#This Row],[Revenue]]</f>
        <v>0.4375</v>
      </c>
    </row>
    <row r="182" spans="1:14" ht="14.25" customHeight="1" x14ac:dyDescent="0.25">
      <c r="A182" s="7">
        <v>46106</v>
      </c>
      <c r="B182" s="14" t="s">
        <v>12</v>
      </c>
      <c r="C182" s="15" t="s">
        <v>48</v>
      </c>
      <c r="D182" s="15" t="s">
        <v>42</v>
      </c>
      <c r="E182" s="14" t="str">
        <f ca="1">PROPER(TRIM(CLEAN(ShoeSales[[#This Row],[Brand]])))</f>
        <v>Zara</v>
      </c>
      <c r="F182" s="15" t="s">
        <v>39</v>
      </c>
      <c r="G182" s="3">
        <v>2</v>
      </c>
      <c r="H182" s="15" t="s">
        <v>45</v>
      </c>
      <c r="I182" s="5">
        <f>VLOOKUP(ShoeSales[[#This Row],[Product]],Price!$A$2:C189,2,)</f>
        <v>112</v>
      </c>
      <c r="J182" s="5">
        <f>VLOOKUP(ShoeSales[[#This Row],[Product]],Price!$A$2:C189,3,)</f>
        <v>64</v>
      </c>
      <c r="K182" s="5">
        <f>ShoeSales[[#This Row],[Quantity]]*ShoeSales[[#This Row],[Unit_price]]</f>
        <v>224</v>
      </c>
      <c r="L182" s="5">
        <f>ShoeSales[[#This Row],[Quantity]]*ShoeSales[[#This Row],[Unit_cost]]</f>
        <v>128</v>
      </c>
      <c r="M182" s="5">
        <f>ShoeSales[[#This Row],[Revenue]]-ShoeSales[[#This Row],[Total_cost]]</f>
        <v>96</v>
      </c>
      <c r="N182" s="11">
        <f>ShoeSales[[#This Row],[Profit]]/ShoeSales[[#This Row],[Revenue]]</f>
        <v>0.42857142857142855</v>
      </c>
    </row>
    <row r="183" spans="1:14" ht="14.25" customHeight="1" x14ac:dyDescent="0.25">
      <c r="A183" s="8">
        <v>46165</v>
      </c>
      <c r="B183" s="14" t="s">
        <v>8</v>
      </c>
      <c r="C183" s="16" t="s">
        <v>37</v>
      </c>
      <c r="D183" s="16" t="s">
        <v>28</v>
      </c>
      <c r="E183" s="14" t="str">
        <f ca="1">PROPER(TRIM(CLEAN(ShoeSales[[#This Row],[Brand]])))</f>
        <v>Steve Madden</v>
      </c>
      <c r="F183" s="16" t="s">
        <v>46</v>
      </c>
      <c r="G183" s="4">
        <v>6</v>
      </c>
      <c r="H183" s="16" t="s">
        <v>30</v>
      </c>
      <c r="I183" s="5">
        <f>VLOOKUP(ShoeSales[[#This Row],[Product]],Price!$A$2:C190,2,)</f>
        <v>76</v>
      </c>
      <c r="J183" s="5">
        <f>VLOOKUP(ShoeSales[[#This Row],[Product]],Price!$A$2:C190,3,)</f>
        <v>39</v>
      </c>
      <c r="K183" s="5">
        <f>ShoeSales[[#This Row],[Quantity]]*ShoeSales[[#This Row],[Unit_price]]</f>
        <v>456</v>
      </c>
      <c r="L183" s="5">
        <f>ShoeSales[[#This Row],[Quantity]]*ShoeSales[[#This Row],[Unit_cost]]</f>
        <v>234</v>
      </c>
      <c r="M183" s="5">
        <f>ShoeSales[[#This Row],[Revenue]]-ShoeSales[[#This Row],[Total_cost]]</f>
        <v>222</v>
      </c>
      <c r="N183" s="11">
        <f>ShoeSales[[#This Row],[Profit]]/ShoeSales[[#This Row],[Revenue]]</f>
        <v>0.48684210526315791</v>
      </c>
    </row>
    <row r="184" spans="1:14" ht="14.25" customHeight="1" x14ac:dyDescent="0.25">
      <c r="A184" s="7">
        <v>46153</v>
      </c>
      <c r="B184" s="14" t="s">
        <v>15</v>
      </c>
      <c r="C184" s="15" t="s">
        <v>52</v>
      </c>
      <c r="D184" s="15" t="s">
        <v>42</v>
      </c>
      <c r="E184" s="14" t="str">
        <f ca="1">PROPER(TRIM(CLEAN(ShoeSales[[#This Row],[Brand]])))</f>
        <v>Zara</v>
      </c>
      <c r="F184" s="15" t="s">
        <v>40</v>
      </c>
      <c r="G184" s="3">
        <v>4</v>
      </c>
      <c r="H184" s="15" t="s">
        <v>32</v>
      </c>
      <c r="I184" s="5">
        <f>VLOOKUP(ShoeSales[[#This Row],[Product]],Price!$A$2:C191,2,)</f>
        <v>119</v>
      </c>
      <c r="J184" s="5">
        <f>VLOOKUP(ShoeSales[[#This Row],[Product]],Price!$A$2:C191,3,)</f>
        <v>67</v>
      </c>
      <c r="K184" s="5">
        <f>ShoeSales[[#This Row],[Quantity]]*ShoeSales[[#This Row],[Unit_price]]</f>
        <v>476</v>
      </c>
      <c r="L184" s="5">
        <f>ShoeSales[[#This Row],[Quantity]]*ShoeSales[[#This Row],[Unit_cost]]</f>
        <v>268</v>
      </c>
      <c r="M184" s="5">
        <f>ShoeSales[[#This Row],[Revenue]]-ShoeSales[[#This Row],[Total_cost]]</f>
        <v>208</v>
      </c>
      <c r="N184" s="11">
        <f>ShoeSales[[#This Row],[Profit]]/ShoeSales[[#This Row],[Revenue]]</f>
        <v>0.43697478991596639</v>
      </c>
    </row>
    <row r="185" spans="1:14" ht="14.25" customHeight="1" x14ac:dyDescent="0.25">
      <c r="A185" s="8">
        <v>46211</v>
      </c>
      <c r="B185" s="14" t="s">
        <v>15</v>
      </c>
      <c r="C185" s="16" t="s">
        <v>27</v>
      </c>
      <c r="D185" s="16" t="s">
        <v>31</v>
      </c>
      <c r="E185" s="14" t="str">
        <f ca="1">PROPER(TRIM(CLEAN(ShoeSales[[#This Row],[Brand]])))</f>
        <v>Zara</v>
      </c>
      <c r="F185" s="16" t="s">
        <v>47</v>
      </c>
      <c r="G185" s="4">
        <v>7</v>
      </c>
      <c r="H185" s="16" t="s">
        <v>32</v>
      </c>
      <c r="I185" s="5">
        <f>VLOOKUP(ShoeSales[[#This Row],[Product]],Price!$A$2:C192,2,)</f>
        <v>119</v>
      </c>
      <c r="J185" s="5">
        <f>VLOOKUP(ShoeSales[[#This Row],[Product]],Price!$A$2:C192,3,)</f>
        <v>67</v>
      </c>
      <c r="K185" s="5">
        <f>ShoeSales[[#This Row],[Quantity]]*ShoeSales[[#This Row],[Unit_price]]</f>
        <v>833</v>
      </c>
      <c r="L185" s="5">
        <f>ShoeSales[[#This Row],[Quantity]]*ShoeSales[[#This Row],[Unit_cost]]</f>
        <v>469</v>
      </c>
      <c r="M185" s="5">
        <f>ShoeSales[[#This Row],[Revenue]]-ShoeSales[[#This Row],[Total_cost]]</f>
        <v>364</v>
      </c>
      <c r="N185" s="11">
        <f>ShoeSales[[#This Row],[Profit]]/ShoeSales[[#This Row],[Revenue]]</f>
        <v>0.43697478991596639</v>
      </c>
    </row>
    <row r="186" spans="1:14" ht="14.25" customHeight="1" x14ac:dyDescent="0.25">
      <c r="A186" s="7">
        <v>46084</v>
      </c>
      <c r="B186" s="14" t="s">
        <v>6</v>
      </c>
      <c r="C186" s="15" t="s">
        <v>48</v>
      </c>
      <c r="D186" s="15" t="s">
        <v>38</v>
      </c>
      <c r="E186" s="14" t="str">
        <f ca="1">PROPER(TRIM(CLEAN(ShoeSales[[#This Row],[Brand]])))</f>
        <v>Zara</v>
      </c>
      <c r="F186" s="15" t="s">
        <v>35</v>
      </c>
      <c r="G186" s="3">
        <v>14</v>
      </c>
      <c r="H186" s="15" t="s">
        <v>32</v>
      </c>
      <c r="I186" s="5">
        <f>VLOOKUP(ShoeSales[[#This Row],[Product]],Price!$A$2:C193,2,)</f>
        <v>54</v>
      </c>
      <c r="J186" s="5">
        <f>VLOOKUP(ShoeSales[[#This Row],[Product]],Price!$A$2:C193,3,)</f>
        <v>28</v>
      </c>
      <c r="K186" s="5">
        <f>ShoeSales[[#This Row],[Quantity]]*ShoeSales[[#This Row],[Unit_price]]</f>
        <v>756</v>
      </c>
      <c r="L186" s="5">
        <f>ShoeSales[[#This Row],[Quantity]]*ShoeSales[[#This Row],[Unit_cost]]</f>
        <v>392</v>
      </c>
      <c r="M186" s="5">
        <f>ShoeSales[[#This Row],[Revenue]]-ShoeSales[[#This Row],[Total_cost]]</f>
        <v>364</v>
      </c>
      <c r="N186" s="11">
        <f>ShoeSales[[#This Row],[Profit]]/ShoeSales[[#This Row],[Revenue]]</f>
        <v>0.48148148148148145</v>
      </c>
    </row>
    <row r="187" spans="1:14" ht="14.25" customHeight="1" x14ac:dyDescent="0.25">
      <c r="A187" s="8">
        <v>46094</v>
      </c>
      <c r="B187" s="14" t="s">
        <v>6</v>
      </c>
      <c r="C187" s="16" t="s">
        <v>37</v>
      </c>
      <c r="D187" s="16" t="s">
        <v>28</v>
      </c>
      <c r="E187" s="14" t="str">
        <f ca="1">PROPER(TRIM(CLEAN(ShoeSales[[#This Row],[Brand]])))</f>
        <v>Nike</v>
      </c>
      <c r="F187" s="16" t="s">
        <v>51</v>
      </c>
      <c r="G187" s="4">
        <v>12</v>
      </c>
      <c r="H187" s="16" t="s">
        <v>30</v>
      </c>
      <c r="I187" s="5">
        <f>VLOOKUP(ShoeSales[[#This Row],[Product]],Price!$A$2:C194,2,)</f>
        <v>54</v>
      </c>
      <c r="J187" s="5">
        <f>VLOOKUP(ShoeSales[[#This Row],[Product]],Price!$A$2:C194,3,)</f>
        <v>28</v>
      </c>
      <c r="K187" s="5">
        <f>ShoeSales[[#This Row],[Quantity]]*ShoeSales[[#This Row],[Unit_price]]</f>
        <v>648</v>
      </c>
      <c r="L187" s="5">
        <f>ShoeSales[[#This Row],[Quantity]]*ShoeSales[[#This Row],[Unit_cost]]</f>
        <v>336</v>
      </c>
      <c r="M187" s="5">
        <f>ShoeSales[[#This Row],[Revenue]]-ShoeSales[[#This Row],[Total_cost]]</f>
        <v>312</v>
      </c>
      <c r="N187" s="11">
        <f>ShoeSales[[#This Row],[Profit]]/ShoeSales[[#This Row],[Revenue]]</f>
        <v>0.48148148148148145</v>
      </c>
    </row>
    <row r="188" spans="1:14" ht="14.25" customHeight="1" x14ac:dyDescent="0.25">
      <c r="A188" s="7">
        <v>46239</v>
      </c>
      <c r="B188" s="14" t="s">
        <v>7</v>
      </c>
      <c r="C188" s="15" t="s">
        <v>27</v>
      </c>
      <c r="D188" s="15" t="s">
        <v>28</v>
      </c>
      <c r="E188" s="14" t="str">
        <f ca="1">PROPER(TRIM(CLEAN(ShoeSales[[#This Row],[Brand]])))</f>
        <v>Zara</v>
      </c>
      <c r="F188" s="15" t="s">
        <v>36</v>
      </c>
      <c r="G188" s="3">
        <v>11</v>
      </c>
      <c r="H188" s="15" t="s">
        <v>32</v>
      </c>
      <c r="I188" s="5">
        <f>VLOOKUP(ShoeSales[[#This Row],[Product]],Price!$A$2:C195,2,)</f>
        <v>32</v>
      </c>
      <c r="J188" s="5">
        <f>VLOOKUP(ShoeSales[[#This Row],[Product]],Price!$A$2:C195,3,)</f>
        <v>14</v>
      </c>
      <c r="K188" s="5">
        <f>ShoeSales[[#This Row],[Quantity]]*ShoeSales[[#This Row],[Unit_price]]</f>
        <v>352</v>
      </c>
      <c r="L188" s="5">
        <f>ShoeSales[[#This Row],[Quantity]]*ShoeSales[[#This Row],[Unit_cost]]</f>
        <v>154</v>
      </c>
      <c r="M188" s="5">
        <f>ShoeSales[[#This Row],[Revenue]]-ShoeSales[[#This Row],[Total_cost]]</f>
        <v>198</v>
      </c>
      <c r="N188" s="11">
        <f>ShoeSales[[#This Row],[Profit]]/ShoeSales[[#This Row],[Revenue]]</f>
        <v>0.5625</v>
      </c>
    </row>
    <row r="189" spans="1:14" ht="14.25" customHeight="1" x14ac:dyDescent="0.25">
      <c r="A189" s="8">
        <v>46175</v>
      </c>
      <c r="B189" s="14" t="s">
        <v>15</v>
      </c>
      <c r="C189" s="16" t="s">
        <v>37</v>
      </c>
      <c r="D189" s="16" t="s">
        <v>33</v>
      </c>
      <c r="E189" s="14" t="str">
        <f ca="1">PROPER(TRIM(CLEAN(ShoeSales[[#This Row],[Brand]])))</f>
        <v>Zara</v>
      </c>
      <c r="F189" s="16" t="s">
        <v>36</v>
      </c>
      <c r="G189" s="4">
        <v>4</v>
      </c>
      <c r="H189" s="16" t="s">
        <v>30</v>
      </c>
      <c r="I189" s="5">
        <f>VLOOKUP(ShoeSales[[#This Row],[Product]],Price!$A$2:C196,2,)</f>
        <v>119</v>
      </c>
      <c r="J189" s="5">
        <f>VLOOKUP(ShoeSales[[#This Row],[Product]],Price!$A$2:C196,3,)</f>
        <v>67</v>
      </c>
      <c r="K189" s="5">
        <f>ShoeSales[[#This Row],[Quantity]]*ShoeSales[[#This Row],[Unit_price]]</f>
        <v>476</v>
      </c>
      <c r="L189" s="5">
        <f>ShoeSales[[#This Row],[Quantity]]*ShoeSales[[#This Row],[Unit_cost]]</f>
        <v>268</v>
      </c>
      <c r="M189" s="5">
        <f>ShoeSales[[#This Row],[Revenue]]-ShoeSales[[#This Row],[Total_cost]]</f>
        <v>208</v>
      </c>
      <c r="N189" s="11">
        <f>ShoeSales[[#This Row],[Profit]]/ShoeSales[[#This Row],[Revenue]]</f>
        <v>0.43697478991596639</v>
      </c>
    </row>
    <row r="190" spans="1:14" ht="14.25" customHeight="1" x14ac:dyDescent="0.25">
      <c r="A190" s="7">
        <v>46039</v>
      </c>
      <c r="B190" s="14" t="s">
        <v>10</v>
      </c>
      <c r="C190" s="15" t="s">
        <v>27</v>
      </c>
      <c r="D190" s="15" t="s">
        <v>28</v>
      </c>
      <c r="E190" s="14" t="str">
        <f ca="1">PROPER(TRIM(CLEAN(ShoeSales[[#This Row],[Brand]])))</f>
        <v>Nike</v>
      </c>
      <c r="F190" s="15" t="s">
        <v>50</v>
      </c>
      <c r="G190" s="3">
        <v>4</v>
      </c>
      <c r="H190" s="15" t="s">
        <v>30</v>
      </c>
      <c r="I190" s="5">
        <f>VLOOKUP(ShoeSales[[#This Row],[Product]],Price!$A$2:C197,2,)</f>
        <v>105</v>
      </c>
      <c r="J190" s="5">
        <f>VLOOKUP(ShoeSales[[#This Row],[Product]],Price!$A$2:C197,3,)</f>
        <v>58</v>
      </c>
      <c r="K190" s="5">
        <f>ShoeSales[[#This Row],[Quantity]]*ShoeSales[[#This Row],[Unit_price]]</f>
        <v>420</v>
      </c>
      <c r="L190" s="5">
        <f>ShoeSales[[#This Row],[Quantity]]*ShoeSales[[#This Row],[Unit_cost]]</f>
        <v>232</v>
      </c>
      <c r="M190" s="5">
        <f>ShoeSales[[#This Row],[Revenue]]-ShoeSales[[#This Row],[Total_cost]]</f>
        <v>188</v>
      </c>
      <c r="N190" s="11">
        <f>ShoeSales[[#This Row],[Profit]]/ShoeSales[[#This Row],[Revenue]]</f>
        <v>0.44761904761904764</v>
      </c>
    </row>
    <row r="191" spans="1:14" ht="14.25" customHeight="1" x14ac:dyDescent="0.25">
      <c r="A191" s="8">
        <v>46210</v>
      </c>
      <c r="B191" s="14" t="s">
        <v>7</v>
      </c>
      <c r="C191" s="16" t="s">
        <v>27</v>
      </c>
      <c r="D191" s="16" t="s">
        <v>31</v>
      </c>
      <c r="E191" s="14" t="str">
        <f ca="1">PROPER(TRIM(CLEAN(ShoeSales[[#This Row],[Brand]])))</f>
        <v>Zara</v>
      </c>
      <c r="F191" s="16" t="s">
        <v>47</v>
      </c>
      <c r="G191" s="4">
        <v>3</v>
      </c>
      <c r="H191" s="16" t="s">
        <v>32</v>
      </c>
      <c r="I191" s="5">
        <f>VLOOKUP(ShoeSales[[#This Row],[Product]],Price!$A$2:C198,2,)</f>
        <v>32</v>
      </c>
      <c r="J191" s="5">
        <f>VLOOKUP(ShoeSales[[#This Row],[Product]],Price!$A$2:C198,3,)</f>
        <v>14</v>
      </c>
      <c r="K191" s="5">
        <f>ShoeSales[[#This Row],[Quantity]]*ShoeSales[[#This Row],[Unit_price]]</f>
        <v>96</v>
      </c>
      <c r="L191" s="5">
        <f>ShoeSales[[#This Row],[Quantity]]*ShoeSales[[#This Row],[Unit_cost]]</f>
        <v>42</v>
      </c>
      <c r="M191" s="5">
        <f>ShoeSales[[#This Row],[Revenue]]-ShoeSales[[#This Row],[Total_cost]]</f>
        <v>54</v>
      </c>
      <c r="N191" s="11">
        <f>ShoeSales[[#This Row],[Profit]]/ShoeSales[[#This Row],[Revenue]]</f>
        <v>0.5625</v>
      </c>
    </row>
    <row r="192" spans="1:14" ht="14.25" customHeight="1" x14ac:dyDescent="0.25">
      <c r="A192" s="7">
        <v>46165</v>
      </c>
      <c r="B192" s="14" t="s">
        <v>12</v>
      </c>
      <c r="C192" s="15" t="s">
        <v>48</v>
      </c>
      <c r="D192" s="15" t="s">
        <v>42</v>
      </c>
      <c r="E192" s="14" t="str">
        <f ca="1">PROPER(TRIM(CLEAN(ShoeSales[[#This Row],[Brand]])))</f>
        <v>Steve Madden</v>
      </c>
      <c r="F192" s="15" t="s">
        <v>43</v>
      </c>
      <c r="G192" s="3">
        <v>15</v>
      </c>
      <c r="H192" s="15" t="s">
        <v>32</v>
      </c>
      <c r="I192" s="5">
        <f>VLOOKUP(ShoeSales[[#This Row],[Product]],Price!$A$2:C199,2,)</f>
        <v>112</v>
      </c>
      <c r="J192" s="5">
        <f>VLOOKUP(ShoeSales[[#This Row],[Product]],Price!$A$2:C199,3,)</f>
        <v>64</v>
      </c>
      <c r="K192" s="5">
        <f>ShoeSales[[#This Row],[Quantity]]*ShoeSales[[#This Row],[Unit_price]]</f>
        <v>1680</v>
      </c>
      <c r="L192" s="5">
        <f>ShoeSales[[#This Row],[Quantity]]*ShoeSales[[#This Row],[Unit_cost]]</f>
        <v>960</v>
      </c>
      <c r="M192" s="5">
        <f>ShoeSales[[#This Row],[Revenue]]-ShoeSales[[#This Row],[Total_cost]]</f>
        <v>720</v>
      </c>
      <c r="N192" s="11">
        <f>ShoeSales[[#This Row],[Profit]]/ShoeSales[[#This Row],[Revenue]]</f>
        <v>0.42857142857142855</v>
      </c>
    </row>
    <row r="193" spans="1:14" ht="14.25" customHeight="1" x14ac:dyDescent="0.25">
      <c r="A193" s="8">
        <v>46072</v>
      </c>
      <c r="B193" s="14" t="s">
        <v>5</v>
      </c>
      <c r="C193" s="16" t="s">
        <v>37</v>
      </c>
      <c r="D193" s="16" t="s">
        <v>38</v>
      </c>
      <c r="E193" s="14" t="str">
        <f ca="1">PROPER(TRIM(CLEAN(ShoeSales[[#This Row],[Brand]])))</f>
        <v>Timberland</v>
      </c>
      <c r="F193" s="16" t="s">
        <v>43</v>
      </c>
      <c r="G193" s="4">
        <v>9</v>
      </c>
      <c r="H193" s="16" t="s">
        <v>32</v>
      </c>
      <c r="I193" s="5">
        <f>VLOOKUP(ShoeSales[[#This Row],[Product]],Price!$A$2:C200,2,)</f>
        <v>89</v>
      </c>
      <c r="J193" s="5">
        <f>VLOOKUP(ShoeSales[[#This Row],[Product]],Price!$A$2:C200,3,)</f>
        <v>47</v>
      </c>
      <c r="K193" s="5">
        <f>ShoeSales[[#This Row],[Quantity]]*ShoeSales[[#This Row],[Unit_price]]</f>
        <v>801</v>
      </c>
      <c r="L193" s="5">
        <f>ShoeSales[[#This Row],[Quantity]]*ShoeSales[[#This Row],[Unit_cost]]</f>
        <v>423</v>
      </c>
      <c r="M193" s="5">
        <f>ShoeSales[[#This Row],[Revenue]]-ShoeSales[[#This Row],[Total_cost]]</f>
        <v>378</v>
      </c>
      <c r="N193" s="11">
        <f>ShoeSales[[#This Row],[Profit]]/ShoeSales[[#This Row],[Revenue]]</f>
        <v>0.47191011235955055</v>
      </c>
    </row>
    <row r="194" spans="1:14" ht="14.25" customHeight="1" x14ac:dyDescent="0.25">
      <c r="A194" s="7">
        <v>46118</v>
      </c>
      <c r="B194" s="14" t="s">
        <v>9</v>
      </c>
      <c r="C194" s="15" t="s">
        <v>52</v>
      </c>
      <c r="D194" s="15" t="s">
        <v>38</v>
      </c>
      <c r="E194" s="14" t="str">
        <f ca="1">PROPER(TRIM(CLEAN(ShoeSales[[#This Row],[Brand]])))</f>
        <v>Zara</v>
      </c>
      <c r="F194" s="15" t="s">
        <v>40</v>
      </c>
      <c r="G194" s="3">
        <v>12</v>
      </c>
      <c r="H194" s="15" t="s">
        <v>30</v>
      </c>
      <c r="I194" s="5">
        <f>VLOOKUP(ShoeSales[[#This Row],[Product]],Price!$A$2:C201,2,)</f>
        <v>128</v>
      </c>
      <c r="J194" s="5">
        <f>VLOOKUP(ShoeSales[[#This Row],[Product]],Price!$A$2:C201,3,)</f>
        <v>72</v>
      </c>
      <c r="K194" s="5">
        <f>ShoeSales[[#This Row],[Quantity]]*ShoeSales[[#This Row],[Unit_price]]</f>
        <v>1536</v>
      </c>
      <c r="L194" s="5">
        <f>ShoeSales[[#This Row],[Quantity]]*ShoeSales[[#This Row],[Unit_cost]]</f>
        <v>864</v>
      </c>
      <c r="M194" s="5">
        <f>ShoeSales[[#This Row],[Revenue]]-ShoeSales[[#This Row],[Total_cost]]</f>
        <v>672</v>
      </c>
      <c r="N194" s="11">
        <f>ShoeSales[[#This Row],[Profit]]/ShoeSales[[#This Row],[Revenue]]</f>
        <v>0.4375</v>
      </c>
    </row>
    <row r="195" spans="1:14" ht="14.25" customHeight="1" x14ac:dyDescent="0.25">
      <c r="A195" s="8">
        <v>46105</v>
      </c>
      <c r="B195" s="14" t="s">
        <v>12</v>
      </c>
      <c r="C195" s="16" t="s">
        <v>52</v>
      </c>
      <c r="D195" s="16" t="s">
        <v>38</v>
      </c>
      <c r="E195" s="14" t="str">
        <f ca="1">PROPER(TRIM(CLEAN(ShoeSales[[#This Row],[Brand]])))</f>
        <v>Zara</v>
      </c>
      <c r="F195" s="16" t="s">
        <v>39</v>
      </c>
      <c r="G195" s="4">
        <v>5</v>
      </c>
      <c r="H195" s="16" t="s">
        <v>41</v>
      </c>
      <c r="I195" s="5">
        <f>VLOOKUP(ShoeSales[[#This Row],[Product]],Price!$A$2:C202,2,)</f>
        <v>112</v>
      </c>
      <c r="J195" s="5">
        <f>VLOOKUP(ShoeSales[[#This Row],[Product]],Price!$A$2:C202,3,)</f>
        <v>64</v>
      </c>
      <c r="K195" s="5">
        <f>ShoeSales[[#This Row],[Quantity]]*ShoeSales[[#This Row],[Unit_price]]</f>
        <v>560</v>
      </c>
      <c r="L195" s="5">
        <f>ShoeSales[[#This Row],[Quantity]]*ShoeSales[[#This Row],[Unit_cost]]</f>
        <v>320</v>
      </c>
      <c r="M195" s="5">
        <f>ShoeSales[[#This Row],[Revenue]]-ShoeSales[[#This Row],[Total_cost]]</f>
        <v>240</v>
      </c>
      <c r="N195" s="11">
        <f>ShoeSales[[#This Row],[Profit]]/ShoeSales[[#This Row],[Revenue]]</f>
        <v>0.42857142857142855</v>
      </c>
    </row>
    <row r="196" spans="1:14" ht="14.25" customHeight="1" x14ac:dyDescent="0.25">
      <c r="A196" s="7">
        <v>46117</v>
      </c>
      <c r="B196" s="14" t="s">
        <v>8</v>
      </c>
      <c r="C196" s="15" t="s">
        <v>27</v>
      </c>
      <c r="D196" s="15" t="s">
        <v>42</v>
      </c>
      <c r="E196" s="14" t="str">
        <f ca="1">PROPER(TRIM(CLEAN(ShoeSales[[#This Row],[Brand]])))</f>
        <v>Clarks</v>
      </c>
      <c r="F196" s="15" t="s">
        <v>44</v>
      </c>
      <c r="G196" s="3">
        <v>4</v>
      </c>
      <c r="H196" s="15" t="s">
        <v>45</v>
      </c>
      <c r="I196" s="5">
        <f>VLOOKUP(ShoeSales[[#This Row],[Product]],Price!$A$2:C203,2,)</f>
        <v>76</v>
      </c>
      <c r="J196" s="5">
        <f>VLOOKUP(ShoeSales[[#This Row],[Product]],Price!$A$2:C203,3,)</f>
        <v>39</v>
      </c>
      <c r="K196" s="5">
        <f>ShoeSales[[#This Row],[Quantity]]*ShoeSales[[#This Row],[Unit_price]]</f>
        <v>304</v>
      </c>
      <c r="L196" s="5">
        <f>ShoeSales[[#This Row],[Quantity]]*ShoeSales[[#This Row],[Unit_cost]]</f>
        <v>156</v>
      </c>
      <c r="M196" s="5">
        <f>ShoeSales[[#This Row],[Revenue]]-ShoeSales[[#This Row],[Total_cost]]</f>
        <v>148</v>
      </c>
      <c r="N196" s="11">
        <f>ShoeSales[[#This Row],[Profit]]/ShoeSales[[#This Row],[Revenue]]</f>
        <v>0.48684210526315791</v>
      </c>
    </row>
    <row r="197" spans="1:14" ht="14.25" customHeight="1" x14ac:dyDescent="0.25">
      <c r="A197" s="8">
        <v>46223</v>
      </c>
      <c r="B197" s="14" t="s">
        <v>5</v>
      </c>
      <c r="C197" s="16" t="s">
        <v>37</v>
      </c>
      <c r="D197" s="16" t="s">
        <v>38</v>
      </c>
      <c r="E197" s="14" t="str">
        <f ca="1">PROPER(TRIM(CLEAN(ShoeSales[[#This Row],[Brand]])))</f>
        <v>Zara</v>
      </c>
      <c r="F197" s="16" t="s">
        <v>53</v>
      </c>
      <c r="G197" s="4">
        <v>10</v>
      </c>
      <c r="H197" s="16" t="s">
        <v>32</v>
      </c>
      <c r="I197" s="5">
        <f>VLOOKUP(ShoeSales[[#This Row],[Product]],Price!$A$2:C204,2,)</f>
        <v>89</v>
      </c>
      <c r="J197" s="5">
        <f>VLOOKUP(ShoeSales[[#This Row],[Product]],Price!$A$2:C204,3,)</f>
        <v>47</v>
      </c>
      <c r="K197" s="5">
        <f>ShoeSales[[#This Row],[Quantity]]*ShoeSales[[#This Row],[Unit_price]]</f>
        <v>890</v>
      </c>
      <c r="L197" s="5">
        <f>ShoeSales[[#This Row],[Quantity]]*ShoeSales[[#This Row],[Unit_cost]]</f>
        <v>470</v>
      </c>
      <c r="M197" s="5">
        <f>ShoeSales[[#This Row],[Revenue]]-ShoeSales[[#This Row],[Total_cost]]</f>
        <v>420</v>
      </c>
      <c r="N197" s="11">
        <f>ShoeSales[[#This Row],[Profit]]/ShoeSales[[#This Row],[Revenue]]</f>
        <v>0.47191011235955055</v>
      </c>
    </row>
    <row r="198" spans="1:14" ht="14.25" customHeight="1" x14ac:dyDescent="0.25">
      <c r="A198" s="7">
        <v>46221</v>
      </c>
      <c r="B198" s="14" t="s">
        <v>6</v>
      </c>
      <c r="C198" s="15" t="s">
        <v>52</v>
      </c>
      <c r="D198" s="15" t="s">
        <v>28</v>
      </c>
      <c r="E198" s="14" t="str">
        <f ca="1">PROPER(TRIM(CLEAN(ShoeSales[[#This Row],[Brand]])))</f>
        <v>Timberland</v>
      </c>
      <c r="F198" s="15" t="s">
        <v>39</v>
      </c>
      <c r="G198" s="3">
        <v>4</v>
      </c>
      <c r="H198" s="15" t="s">
        <v>45</v>
      </c>
      <c r="I198" s="5">
        <f>VLOOKUP(ShoeSales[[#This Row],[Product]],Price!$A$2:C205,2,)</f>
        <v>54</v>
      </c>
      <c r="J198" s="5">
        <f>VLOOKUP(ShoeSales[[#This Row],[Product]],Price!$A$2:C205,3,)</f>
        <v>28</v>
      </c>
      <c r="K198" s="5">
        <f>ShoeSales[[#This Row],[Quantity]]*ShoeSales[[#This Row],[Unit_price]]</f>
        <v>216</v>
      </c>
      <c r="L198" s="5">
        <f>ShoeSales[[#This Row],[Quantity]]*ShoeSales[[#This Row],[Unit_cost]]</f>
        <v>112</v>
      </c>
      <c r="M198" s="5">
        <f>ShoeSales[[#This Row],[Revenue]]-ShoeSales[[#This Row],[Total_cost]]</f>
        <v>104</v>
      </c>
      <c r="N198" s="11">
        <f>ShoeSales[[#This Row],[Profit]]/ShoeSales[[#This Row],[Revenue]]</f>
        <v>0.48148148148148145</v>
      </c>
    </row>
    <row r="199" spans="1:14" ht="14.25" customHeight="1" x14ac:dyDescent="0.25">
      <c r="A199" s="8">
        <v>46248</v>
      </c>
      <c r="B199" s="14" t="s">
        <v>12</v>
      </c>
      <c r="C199" s="16" t="s">
        <v>48</v>
      </c>
      <c r="D199" s="16" t="s">
        <v>33</v>
      </c>
      <c r="E199" s="14" t="str">
        <f ca="1">PROPER(TRIM(CLEAN(ShoeSales[[#This Row],[Brand]])))</f>
        <v>Clarks</v>
      </c>
      <c r="F199" s="16" t="s">
        <v>40</v>
      </c>
      <c r="G199" s="4">
        <v>1</v>
      </c>
      <c r="H199" s="16" t="s">
        <v>30</v>
      </c>
      <c r="I199" s="5">
        <f>VLOOKUP(ShoeSales[[#This Row],[Product]],Price!$A$2:C206,2,)</f>
        <v>112</v>
      </c>
      <c r="J199" s="5">
        <f>VLOOKUP(ShoeSales[[#This Row],[Product]],Price!$A$2:C206,3,)</f>
        <v>64</v>
      </c>
      <c r="K199" s="5">
        <f>ShoeSales[[#This Row],[Quantity]]*ShoeSales[[#This Row],[Unit_price]]</f>
        <v>112</v>
      </c>
      <c r="L199" s="5">
        <f>ShoeSales[[#This Row],[Quantity]]*ShoeSales[[#This Row],[Unit_cost]]</f>
        <v>64</v>
      </c>
      <c r="M199" s="5">
        <f>ShoeSales[[#This Row],[Revenue]]-ShoeSales[[#This Row],[Total_cost]]</f>
        <v>48</v>
      </c>
      <c r="N199" s="11">
        <f>ShoeSales[[#This Row],[Profit]]/ShoeSales[[#This Row],[Revenue]]</f>
        <v>0.42857142857142855</v>
      </c>
    </row>
    <row r="200" spans="1:14" ht="14.25" customHeight="1" x14ac:dyDescent="0.25">
      <c r="A200" s="7">
        <v>46054</v>
      </c>
      <c r="B200" s="14" t="s">
        <v>5</v>
      </c>
      <c r="C200" s="15" t="s">
        <v>27</v>
      </c>
      <c r="D200" s="15" t="s">
        <v>38</v>
      </c>
      <c r="E200" s="14" t="str">
        <f ca="1">PROPER(TRIM(CLEAN(ShoeSales[[#This Row],[Brand]])))</f>
        <v>Clarks</v>
      </c>
      <c r="F200" s="15" t="s">
        <v>47</v>
      </c>
      <c r="G200" s="3">
        <v>13</v>
      </c>
      <c r="H200" s="15" t="s">
        <v>32</v>
      </c>
      <c r="I200" s="5">
        <f>VLOOKUP(ShoeSales[[#This Row],[Product]],Price!$A$2:C207,2,)</f>
        <v>89</v>
      </c>
      <c r="J200" s="5">
        <f>VLOOKUP(ShoeSales[[#This Row],[Product]],Price!$A$2:C207,3,)</f>
        <v>47</v>
      </c>
      <c r="K200" s="5">
        <f>ShoeSales[[#This Row],[Quantity]]*ShoeSales[[#This Row],[Unit_price]]</f>
        <v>1157</v>
      </c>
      <c r="L200" s="5">
        <f>ShoeSales[[#This Row],[Quantity]]*ShoeSales[[#This Row],[Unit_cost]]</f>
        <v>611</v>
      </c>
      <c r="M200" s="5">
        <f>ShoeSales[[#This Row],[Revenue]]-ShoeSales[[#This Row],[Total_cost]]</f>
        <v>546</v>
      </c>
      <c r="N200" s="11">
        <f>ShoeSales[[#This Row],[Profit]]/ShoeSales[[#This Row],[Revenue]]</f>
        <v>0.47191011235955055</v>
      </c>
    </row>
    <row r="201" spans="1:14" ht="14.25" customHeight="1" x14ac:dyDescent="0.25">
      <c r="A201" s="8">
        <v>46094</v>
      </c>
      <c r="B201" s="14" t="s">
        <v>6</v>
      </c>
      <c r="C201" s="16" t="s">
        <v>52</v>
      </c>
      <c r="D201" s="16" t="s">
        <v>42</v>
      </c>
      <c r="E201" s="14" t="str">
        <f ca="1">PROPER(TRIM(CLEAN(ShoeSales[[#This Row],[Brand]])))</f>
        <v>Clarks</v>
      </c>
      <c r="F201" s="16" t="s">
        <v>53</v>
      </c>
      <c r="G201" s="4">
        <v>7</v>
      </c>
      <c r="H201" s="16" t="s">
        <v>32</v>
      </c>
      <c r="I201" s="5">
        <f>VLOOKUP(ShoeSales[[#This Row],[Product]],Price!$A$2:C208,2,)</f>
        <v>54</v>
      </c>
      <c r="J201" s="5">
        <f>VLOOKUP(ShoeSales[[#This Row],[Product]],Price!$A$2:C208,3,)</f>
        <v>28</v>
      </c>
      <c r="K201" s="5">
        <f>ShoeSales[[#This Row],[Quantity]]*ShoeSales[[#This Row],[Unit_price]]</f>
        <v>378</v>
      </c>
      <c r="L201" s="5">
        <f>ShoeSales[[#This Row],[Quantity]]*ShoeSales[[#This Row],[Unit_cost]]</f>
        <v>196</v>
      </c>
      <c r="M201" s="5">
        <f>ShoeSales[[#This Row],[Revenue]]-ShoeSales[[#This Row],[Total_cost]]</f>
        <v>182</v>
      </c>
      <c r="N201" s="11">
        <f>ShoeSales[[#This Row],[Profit]]/ShoeSales[[#This Row],[Revenue]]</f>
        <v>0.48148148148148145</v>
      </c>
    </row>
    <row r="202" spans="1:14" ht="14.25" customHeight="1" x14ac:dyDescent="0.25">
      <c r="A202" s="7">
        <v>46187</v>
      </c>
      <c r="B202" s="14" t="s">
        <v>7</v>
      </c>
      <c r="C202" s="15" t="s">
        <v>27</v>
      </c>
      <c r="D202" s="15" t="s">
        <v>42</v>
      </c>
      <c r="E202" s="14" t="str">
        <f ca="1">PROPER(TRIM(CLEAN(ShoeSales[[#This Row],[Brand]])))</f>
        <v>Clarks</v>
      </c>
      <c r="F202" s="15" t="s">
        <v>43</v>
      </c>
      <c r="G202" s="3">
        <v>10</v>
      </c>
      <c r="H202" s="15" t="s">
        <v>41</v>
      </c>
      <c r="I202" s="5">
        <f>VLOOKUP(ShoeSales[[#This Row],[Product]],Price!$A$2:C209,2,)</f>
        <v>32</v>
      </c>
      <c r="J202" s="5">
        <f>VLOOKUP(ShoeSales[[#This Row],[Product]],Price!$A$2:C209,3,)</f>
        <v>14</v>
      </c>
      <c r="K202" s="5">
        <f>ShoeSales[[#This Row],[Quantity]]*ShoeSales[[#This Row],[Unit_price]]</f>
        <v>320</v>
      </c>
      <c r="L202" s="5">
        <f>ShoeSales[[#This Row],[Quantity]]*ShoeSales[[#This Row],[Unit_cost]]</f>
        <v>140</v>
      </c>
      <c r="M202" s="5">
        <f>ShoeSales[[#This Row],[Revenue]]-ShoeSales[[#This Row],[Total_cost]]</f>
        <v>180</v>
      </c>
      <c r="N202" s="11">
        <f>ShoeSales[[#This Row],[Profit]]/ShoeSales[[#This Row],[Revenue]]</f>
        <v>0.5625</v>
      </c>
    </row>
    <row r="203" spans="1:14" ht="14.25" customHeight="1" x14ac:dyDescent="0.25">
      <c r="A203" s="8">
        <v>46047</v>
      </c>
      <c r="B203" s="14" t="s">
        <v>5</v>
      </c>
      <c r="C203" s="16" t="s">
        <v>27</v>
      </c>
      <c r="D203" s="16" t="s">
        <v>42</v>
      </c>
      <c r="E203" s="14" t="str">
        <f ca="1">PROPER(TRIM(CLEAN(ShoeSales[[#This Row],[Brand]])))</f>
        <v>Zara</v>
      </c>
      <c r="F203" s="16" t="s">
        <v>50</v>
      </c>
      <c r="G203" s="4">
        <v>5</v>
      </c>
      <c r="H203" s="16" t="s">
        <v>41</v>
      </c>
      <c r="I203" s="5">
        <f>VLOOKUP(ShoeSales[[#This Row],[Product]],Price!$A$2:C210,2,)</f>
        <v>89</v>
      </c>
      <c r="J203" s="5">
        <f>VLOOKUP(ShoeSales[[#This Row],[Product]],Price!$A$2:C210,3,)</f>
        <v>47</v>
      </c>
      <c r="K203" s="5">
        <f>ShoeSales[[#This Row],[Quantity]]*ShoeSales[[#This Row],[Unit_price]]</f>
        <v>445</v>
      </c>
      <c r="L203" s="5">
        <f>ShoeSales[[#This Row],[Quantity]]*ShoeSales[[#This Row],[Unit_cost]]</f>
        <v>235</v>
      </c>
      <c r="M203" s="5">
        <f>ShoeSales[[#This Row],[Revenue]]-ShoeSales[[#This Row],[Total_cost]]</f>
        <v>210</v>
      </c>
      <c r="N203" s="11">
        <f>ShoeSales[[#This Row],[Profit]]/ShoeSales[[#This Row],[Revenue]]</f>
        <v>0.47191011235955055</v>
      </c>
    </row>
    <row r="204" spans="1:14" ht="14.25" customHeight="1" x14ac:dyDescent="0.25">
      <c r="A204" s="7">
        <v>46108</v>
      </c>
      <c r="B204" s="14" t="s">
        <v>8</v>
      </c>
      <c r="C204" s="15" t="s">
        <v>48</v>
      </c>
      <c r="D204" s="15" t="s">
        <v>28</v>
      </c>
      <c r="E204" s="14" t="str">
        <f ca="1">PROPER(TRIM(CLEAN(ShoeSales[[#This Row],[Brand]])))</f>
        <v>Clarks</v>
      </c>
      <c r="F204" s="15" t="s">
        <v>43</v>
      </c>
      <c r="G204" s="3">
        <v>2</v>
      </c>
      <c r="H204" s="15" t="s">
        <v>45</v>
      </c>
      <c r="I204" s="5">
        <f>VLOOKUP(ShoeSales[[#This Row],[Product]],Price!$A$2:C211,2,)</f>
        <v>76</v>
      </c>
      <c r="J204" s="5">
        <f>VLOOKUP(ShoeSales[[#This Row],[Product]],Price!$A$2:C211,3,)</f>
        <v>39</v>
      </c>
      <c r="K204" s="5">
        <f>ShoeSales[[#This Row],[Quantity]]*ShoeSales[[#This Row],[Unit_price]]</f>
        <v>152</v>
      </c>
      <c r="L204" s="5">
        <f>ShoeSales[[#This Row],[Quantity]]*ShoeSales[[#This Row],[Unit_cost]]</f>
        <v>78</v>
      </c>
      <c r="M204" s="5">
        <f>ShoeSales[[#This Row],[Revenue]]-ShoeSales[[#This Row],[Total_cost]]</f>
        <v>74</v>
      </c>
      <c r="N204" s="11">
        <f>ShoeSales[[#This Row],[Profit]]/ShoeSales[[#This Row],[Revenue]]</f>
        <v>0.48684210526315791</v>
      </c>
    </row>
    <row r="205" spans="1:14" ht="14.25" customHeight="1" x14ac:dyDescent="0.25">
      <c r="A205" s="8">
        <v>46198</v>
      </c>
      <c r="B205" s="14" t="s">
        <v>7</v>
      </c>
      <c r="C205" s="16" t="s">
        <v>48</v>
      </c>
      <c r="D205" s="16" t="s">
        <v>42</v>
      </c>
      <c r="E205" s="14" t="str">
        <f ca="1">PROPER(TRIM(CLEAN(ShoeSales[[#This Row],[Brand]])))</f>
        <v>Clarks</v>
      </c>
      <c r="F205" s="16" t="s">
        <v>36</v>
      </c>
      <c r="G205" s="4">
        <v>8</v>
      </c>
      <c r="H205" s="16" t="s">
        <v>32</v>
      </c>
      <c r="I205" s="5">
        <f>VLOOKUP(ShoeSales[[#This Row],[Product]],Price!$A$2:C212,2,)</f>
        <v>32</v>
      </c>
      <c r="J205" s="5">
        <f>VLOOKUP(ShoeSales[[#This Row],[Product]],Price!$A$2:C212,3,)</f>
        <v>14</v>
      </c>
      <c r="K205" s="5">
        <f>ShoeSales[[#This Row],[Quantity]]*ShoeSales[[#This Row],[Unit_price]]</f>
        <v>256</v>
      </c>
      <c r="L205" s="5">
        <f>ShoeSales[[#This Row],[Quantity]]*ShoeSales[[#This Row],[Unit_cost]]</f>
        <v>112</v>
      </c>
      <c r="M205" s="5">
        <f>ShoeSales[[#This Row],[Revenue]]-ShoeSales[[#This Row],[Total_cost]]</f>
        <v>144</v>
      </c>
      <c r="N205" s="11">
        <f>ShoeSales[[#This Row],[Profit]]/ShoeSales[[#This Row],[Revenue]]</f>
        <v>0.5625</v>
      </c>
    </row>
    <row r="206" spans="1:14" ht="14.25" customHeight="1" x14ac:dyDescent="0.25">
      <c r="A206" s="7">
        <v>46223</v>
      </c>
      <c r="B206" s="14" t="s">
        <v>12</v>
      </c>
      <c r="C206" s="15" t="s">
        <v>27</v>
      </c>
      <c r="D206" s="15" t="s">
        <v>42</v>
      </c>
      <c r="E206" s="14" t="str">
        <f ca="1">PROPER(TRIM(CLEAN(ShoeSales[[#This Row],[Brand]])))</f>
        <v>Zara</v>
      </c>
      <c r="F206" s="15" t="s">
        <v>46</v>
      </c>
      <c r="G206" s="3">
        <v>4</v>
      </c>
      <c r="H206" s="15" t="s">
        <v>32</v>
      </c>
      <c r="I206" s="5">
        <f>VLOOKUP(ShoeSales[[#This Row],[Product]],Price!$A$2:C213,2,)</f>
        <v>112</v>
      </c>
      <c r="J206" s="5">
        <f>VLOOKUP(ShoeSales[[#This Row],[Product]],Price!$A$2:C213,3,)</f>
        <v>64</v>
      </c>
      <c r="K206" s="5">
        <f>ShoeSales[[#This Row],[Quantity]]*ShoeSales[[#This Row],[Unit_price]]</f>
        <v>448</v>
      </c>
      <c r="L206" s="5">
        <f>ShoeSales[[#This Row],[Quantity]]*ShoeSales[[#This Row],[Unit_cost]]</f>
        <v>256</v>
      </c>
      <c r="M206" s="5">
        <f>ShoeSales[[#This Row],[Revenue]]-ShoeSales[[#This Row],[Total_cost]]</f>
        <v>192</v>
      </c>
      <c r="N206" s="11">
        <f>ShoeSales[[#This Row],[Profit]]/ShoeSales[[#This Row],[Revenue]]</f>
        <v>0.42857142857142855</v>
      </c>
    </row>
    <row r="207" spans="1:14" ht="14.25" customHeight="1" x14ac:dyDescent="0.25">
      <c r="A207" s="8">
        <v>46046</v>
      </c>
      <c r="B207" s="14" t="s">
        <v>6</v>
      </c>
      <c r="C207" s="16" t="s">
        <v>48</v>
      </c>
      <c r="D207" s="16" t="s">
        <v>28</v>
      </c>
      <c r="E207" s="14" t="str">
        <f ca="1">PROPER(TRIM(CLEAN(ShoeSales[[#This Row],[Brand]])))</f>
        <v>Steve Madden</v>
      </c>
      <c r="F207" s="16" t="s">
        <v>46</v>
      </c>
      <c r="G207" s="4">
        <v>10</v>
      </c>
      <c r="H207" s="16" t="s">
        <v>32</v>
      </c>
      <c r="I207" s="5">
        <f>VLOOKUP(ShoeSales[[#This Row],[Product]],Price!$A$2:C214,2,)</f>
        <v>54</v>
      </c>
      <c r="J207" s="5">
        <f>VLOOKUP(ShoeSales[[#This Row],[Product]],Price!$A$2:C214,3,)</f>
        <v>28</v>
      </c>
      <c r="K207" s="5">
        <f>ShoeSales[[#This Row],[Quantity]]*ShoeSales[[#This Row],[Unit_price]]</f>
        <v>540</v>
      </c>
      <c r="L207" s="5">
        <f>ShoeSales[[#This Row],[Quantity]]*ShoeSales[[#This Row],[Unit_cost]]</f>
        <v>280</v>
      </c>
      <c r="M207" s="5">
        <f>ShoeSales[[#This Row],[Revenue]]-ShoeSales[[#This Row],[Total_cost]]</f>
        <v>260</v>
      </c>
      <c r="N207" s="11">
        <f>ShoeSales[[#This Row],[Profit]]/ShoeSales[[#This Row],[Revenue]]</f>
        <v>0.48148148148148145</v>
      </c>
    </row>
    <row r="208" spans="1:14" ht="14.25" customHeight="1" x14ac:dyDescent="0.25">
      <c r="A208" s="7">
        <v>46119</v>
      </c>
      <c r="B208" s="14" t="s">
        <v>12</v>
      </c>
      <c r="C208" s="15" t="s">
        <v>37</v>
      </c>
      <c r="D208" s="15" t="s">
        <v>33</v>
      </c>
      <c r="E208" s="14" t="str">
        <f ca="1">PROPER(TRIM(CLEAN(ShoeSales[[#This Row],[Brand]])))</f>
        <v>Clarks</v>
      </c>
      <c r="F208" s="15" t="s">
        <v>50</v>
      </c>
      <c r="G208" s="3">
        <v>12</v>
      </c>
      <c r="H208" s="15" t="s">
        <v>30</v>
      </c>
      <c r="I208" s="5">
        <f>VLOOKUP(ShoeSales[[#This Row],[Product]],Price!$A$2:C215,2,)</f>
        <v>112</v>
      </c>
      <c r="J208" s="5">
        <f>VLOOKUP(ShoeSales[[#This Row],[Product]],Price!$A$2:C215,3,)</f>
        <v>64</v>
      </c>
      <c r="K208" s="5">
        <f>ShoeSales[[#This Row],[Quantity]]*ShoeSales[[#This Row],[Unit_price]]</f>
        <v>1344</v>
      </c>
      <c r="L208" s="5">
        <f>ShoeSales[[#This Row],[Quantity]]*ShoeSales[[#This Row],[Unit_cost]]</f>
        <v>768</v>
      </c>
      <c r="M208" s="5">
        <f>ShoeSales[[#This Row],[Revenue]]-ShoeSales[[#This Row],[Total_cost]]</f>
        <v>576</v>
      </c>
      <c r="N208" s="11">
        <f>ShoeSales[[#This Row],[Profit]]/ShoeSales[[#This Row],[Revenue]]</f>
        <v>0.42857142857142855</v>
      </c>
    </row>
    <row r="209" spans="1:14" ht="14.25" customHeight="1" x14ac:dyDescent="0.25">
      <c r="A209" s="8">
        <v>46117</v>
      </c>
      <c r="B209" s="14" t="s">
        <v>8</v>
      </c>
      <c r="C209" s="16" t="s">
        <v>27</v>
      </c>
      <c r="D209" s="16" t="s">
        <v>33</v>
      </c>
      <c r="E209" s="14" t="str">
        <f ca="1">PROPER(TRIM(CLEAN(ShoeSales[[#This Row],[Brand]])))</f>
        <v>Zara</v>
      </c>
      <c r="F209" s="16" t="s">
        <v>29</v>
      </c>
      <c r="G209" s="4">
        <v>4</v>
      </c>
      <c r="H209" s="16" t="s">
        <v>32</v>
      </c>
      <c r="I209" s="5">
        <f>VLOOKUP(ShoeSales[[#This Row],[Product]],Price!$A$2:C216,2,)</f>
        <v>76</v>
      </c>
      <c r="J209" s="5">
        <f>VLOOKUP(ShoeSales[[#This Row],[Product]],Price!$A$2:C216,3,)</f>
        <v>39</v>
      </c>
      <c r="K209" s="5">
        <f>ShoeSales[[#This Row],[Quantity]]*ShoeSales[[#This Row],[Unit_price]]</f>
        <v>304</v>
      </c>
      <c r="L209" s="5">
        <f>ShoeSales[[#This Row],[Quantity]]*ShoeSales[[#This Row],[Unit_cost]]</f>
        <v>156</v>
      </c>
      <c r="M209" s="5">
        <f>ShoeSales[[#This Row],[Revenue]]-ShoeSales[[#This Row],[Total_cost]]</f>
        <v>148</v>
      </c>
      <c r="N209" s="11">
        <f>ShoeSales[[#This Row],[Profit]]/ShoeSales[[#This Row],[Revenue]]</f>
        <v>0.48684210526315791</v>
      </c>
    </row>
    <row r="210" spans="1:14" ht="14.25" customHeight="1" x14ac:dyDescent="0.25">
      <c r="A210" s="7">
        <v>46091</v>
      </c>
      <c r="B210" s="14" t="s">
        <v>8</v>
      </c>
      <c r="C210" s="15" t="s">
        <v>27</v>
      </c>
      <c r="D210" s="15" t="s">
        <v>42</v>
      </c>
      <c r="E210" s="14" t="str">
        <f ca="1">PROPER(TRIM(CLEAN(ShoeSales[[#This Row],[Brand]])))</f>
        <v>Zara</v>
      </c>
      <c r="F210" s="15" t="s">
        <v>40</v>
      </c>
      <c r="G210" s="3">
        <v>6</v>
      </c>
      <c r="H210" s="15" t="s">
        <v>41</v>
      </c>
      <c r="I210" s="5">
        <f>VLOOKUP(ShoeSales[[#This Row],[Product]],Price!$A$2:C217,2,)</f>
        <v>76</v>
      </c>
      <c r="J210" s="5">
        <f>VLOOKUP(ShoeSales[[#This Row],[Product]],Price!$A$2:C217,3,)</f>
        <v>39</v>
      </c>
      <c r="K210" s="5">
        <f>ShoeSales[[#This Row],[Quantity]]*ShoeSales[[#This Row],[Unit_price]]</f>
        <v>456</v>
      </c>
      <c r="L210" s="5">
        <f>ShoeSales[[#This Row],[Quantity]]*ShoeSales[[#This Row],[Unit_cost]]</f>
        <v>234</v>
      </c>
      <c r="M210" s="5">
        <f>ShoeSales[[#This Row],[Revenue]]-ShoeSales[[#This Row],[Total_cost]]</f>
        <v>222</v>
      </c>
      <c r="N210" s="11">
        <f>ShoeSales[[#This Row],[Profit]]/ShoeSales[[#This Row],[Revenue]]</f>
        <v>0.48684210526315791</v>
      </c>
    </row>
    <row r="211" spans="1:14" ht="14.25" customHeight="1" x14ac:dyDescent="0.25">
      <c r="A211" s="8">
        <v>46150</v>
      </c>
      <c r="B211" s="14" t="s">
        <v>12</v>
      </c>
      <c r="C211" s="16" t="s">
        <v>27</v>
      </c>
      <c r="D211" s="16" t="s">
        <v>28</v>
      </c>
      <c r="E211" s="14" t="str">
        <f ca="1">PROPER(TRIM(CLEAN(ShoeSales[[#This Row],[Brand]])))</f>
        <v>Nike</v>
      </c>
      <c r="F211" s="16" t="s">
        <v>35</v>
      </c>
      <c r="G211" s="4">
        <v>4</v>
      </c>
      <c r="H211" s="16" t="s">
        <v>32</v>
      </c>
      <c r="I211" s="5">
        <f>VLOOKUP(ShoeSales[[#This Row],[Product]],Price!$A$2:C218,2,)</f>
        <v>112</v>
      </c>
      <c r="J211" s="5">
        <f>VLOOKUP(ShoeSales[[#This Row],[Product]],Price!$A$2:C218,3,)</f>
        <v>64</v>
      </c>
      <c r="K211" s="5">
        <f>ShoeSales[[#This Row],[Quantity]]*ShoeSales[[#This Row],[Unit_price]]</f>
        <v>448</v>
      </c>
      <c r="L211" s="5">
        <f>ShoeSales[[#This Row],[Quantity]]*ShoeSales[[#This Row],[Unit_cost]]</f>
        <v>256</v>
      </c>
      <c r="M211" s="5">
        <f>ShoeSales[[#This Row],[Revenue]]-ShoeSales[[#This Row],[Total_cost]]</f>
        <v>192</v>
      </c>
      <c r="N211" s="11">
        <f>ShoeSales[[#This Row],[Profit]]/ShoeSales[[#This Row],[Revenue]]</f>
        <v>0.42857142857142855</v>
      </c>
    </row>
    <row r="212" spans="1:14" ht="14.25" customHeight="1" x14ac:dyDescent="0.25">
      <c r="A212" s="7">
        <v>46181</v>
      </c>
      <c r="B212" s="14" t="s">
        <v>7</v>
      </c>
      <c r="C212" s="15" t="s">
        <v>27</v>
      </c>
      <c r="D212" s="15" t="s">
        <v>33</v>
      </c>
      <c r="E212" s="14" t="str">
        <f ca="1">PROPER(TRIM(CLEAN(ShoeSales[[#This Row],[Brand]])))</f>
        <v>Timberland</v>
      </c>
      <c r="F212" s="15" t="s">
        <v>29</v>
      </c>
      <c r="G212" s="3">
        <v>5</v>
      </c>
      <c r="H212" s="15" t="s">
        <v>32</v>
      </c>
      <c r="I212" s="5">
        <f>VLOOKUP(ShoeSales[[#This Row],[Product]],Price!$A$2:C219,2,)</f>
        <v>32</v>
      </c>
      <c r="J212" s="5">
        <f>VLOOKUP(ShoeSales[[#This Row],[Product]],Price!$A$2:C219,3,)</f>
        <v>14</v>
      </c>
      <c r="K212" s="5">
        <f>ShoeSales[[#This Row],[Quantity]]*ShoeSales[[#This Row],[Unit_price]]</f>
        <v>160</v>
      </c>
      <c r="L212" s="5">
        <f>ShoeSales[[#This Row],[Quantity]]*ShoeSales[[#This Row],[Unit_cost]]</f>
        <v>70</v>
      </c>
      <c r="M212" s="5">
        <f>ShoeSales[[#This Row],[Revenue]]-ShoeSales[[#This Row],[Total_cost]]</f>
        <v>90</v>
      </c>
      <c r="N212" s="11">
        <f>ShoeSales[[#This Row],[Profit]]/ShoeSales[[#This Row],[Revenue]]</f>
        <v>0.5625</v>
      </c>
    </row>
    <row r="213" spans="1:14" ht="14.25" customHeight="1" x14ac:dyDescent="0.25">
      <c r="A213" s="8">
        <v>46097</v>
      </c>
      <c r="B213" s="14" t="s">
        <v>6</v>
      </c>
      <c r="C213" s="16" t="s">
        <v>48</v>
      </c>
      <c r="D213" s="16" t="s">
        <v>33</v>
      </c>
      <c r="E213" s="14" t="str">
        <f ca="1">PROPER(TRIM(CLEAN(ShoeSales[[#This Row],[Brand]])))</f>
        <v>Clarks</v>
      </c>
      <c r="F213" s="16" t="s">
        <v>40</v>
      </c>
      <c r="G213" s="4">
        <v>5</v>
      </c>
      <c r="H213" s="16" t="s">
        <v>32</v>
      </c>
      <c r="I213" s="5">
        <f>VLOOKUP(ShoeSales[[#This Row],[Product]],Price!$A$2:C220,2,)</f>
        <v>54</v>
      </c>
      <c r="J213" s="5">
        <f>VLOOKUP(ShoeSales[[#This Row],[Product]],Price!$A$2:C220,3,)</f>
        <v>28</v>
      </c>
      <c r="K213" s="5">
        <f>ShoeSales[[#This Row],[Quantity]]*ShoeSales[[#This Row],[Unit_price]]</f>
        <v>270</v>
      </c>
      <c r="L213" s="5">
        <f>ShoeSales[[#This Row],[Quantity]]*ShoeSales[[#This Row],[Unit_cost]]</f>
        <v>140</v>
      </c>
      <c r="M213" s="5">
        <f>ShoeSales[[#This Row],[Revenue]]-ShoeSales[[#This Row],[Total_cost]]</f>
        <v>130</v>
      </c>
      <c r="N213" s="11">
        <f>ShoeSales[[#This Row],[Profit]]/ShoeSales[[#This Row],[Revenue]]</f>
        <v>0.48148148148148145</v>
      </c>
    </row>
    <row r="214" spans="1:14" ht="14.25" customHeight="1" x14ac:dyDescent="0.25">
      <c r="A214" s="7">
        <v>46193</v>
      </c>
      <c r="B214" s="14" t="s">
        <v>9</v>
      </c>
      <c r="C214" s="15" t="s">
        <v>52</v>
      </c>
      <c r="D214" s="15" t="s">
        <v>31</v>
      </c>
      <c r="E214" s="14" t="str">
        <f ca="1">PROPER(TRIM(CLEAN(ShoeSales[[#This Row],[Brand]])))</f>
        <v>Timberland</v>
      </c>
      <c r="F214" s="15" t="s">
        <v>53</v>
      </c>
      <c r="G214" s="3">
        <v>11</v>
      </c>
      <c r="H214" s="15" t="s">
        <v>30</v>
      </c>
      <c r="I214" s="5">
        <f>VLOOKUP(ShoeSales[[#This Row],[Product]],Price!$A$2:C221,2,)</f>
        <v>128</v>
      </c>
      <c r="J214" s="5">
        <f>VLOOKUP(ShoeSales[[#This Row],[Product]],Price!$A$2:C221,3,)</f>
        <v>72</v>
      </c>
      <c r="K214" s="5">
        <f>ShoeSales[[#This Row],[Quantity]]*ShoeSales[[#This Row],[Unit_price]]</f>
        <v>1408</v>
      </c>
      <c r="L214" s="5">
        <f>ShoeSales[[#This Row],[Quantity]]*ShoeSales[[#This Row],[Unit_cost]]</f>
        <v>792</v>
      </c>
      <c r="M214" s="5">
        <f>ShoeSales[[#This Row],[Revenue]]-ShoeSales[[#This Row],[Total_cost]]</f>
        <v>616</v>
      </c>
      <c r="N214" s="11">
        <f>ShoeSales[[#This Row],[Profit]]/ShoeSales[[#This Row],[Revenue]]</f>
        <v>0.4375</v>
      </c>
    </row>
    <row r="215" spans="1:14" ht="14.25" customHeight="1" x14ac:dyDescent="0.25">
      <c r="A215" s="8">
        <v>46204</v>
      </c>
      <c r="B215" s="14" t="s">
        <v>9</v>
      </c>
      <c r="C215" s="16" t="s">
        <v>52</v>
      </c>
      <c r="D215" s="16" t="s">
        <v>31</v>
      </c>
      <c r="E215" s="14" t="str">
        <f ca="1">PROPER(TRIM(CLEAN(ShoeSales[[#This Row],[Brand]])))</f>
        <v>Steve Madden</v>
      </c>
      <c r="F215" s="16" t="s">
        <v>29</v>
      </c>
      <c r="G215" s="4">
        <v>3</v>
      </c>
      <c r="H215" s="16" t="s">
        <v>30</v>
      </c>
      <c r="I215" s="5">
        <f>VLOOKUP(ShoeSales[[#This Row],[Product]],Price!$A$2:C222,2,)</f>
        <v>128</v>
      </c>
      <c r="J215" s="5">
        <f>VLOOKUP(ShoeSales[[#This Row],[Product]],Price!$A$2:C222,3,)</f>
        <v>72</v>
      </c>
      <c r="K215" s="5">
        <f>ShoeSales[[#This Row],[Quantity]]*ShoeSales[[#This Row],[Unit_price]]</f>
        <v>384</v>
      </c>
      <c r="L215" s="5">
        <f>ShoeSales[[#This Row],[Quantity]]*ShoeSales[[#This Row],[Unit_cost]]</f>
        <v>216</v>
      </c>
      <c r="M215" s="5">
        <f>ShoeSales[[#This Row],[Revenue]]-ShoeSales[[#This Row],[Total_cost]]</f>
        <v>168</v>
      </c>
      <c r="N215" s="11">
        <f>ShoeSales[[#This Row],[Profit]]/ShoeSales[[#This Row],[Revenue]]</f>
        <v>0.4375</v>
      </c>
    </row>
    <row r="216" spans="1:14" ht="14.25" customHeight="1" x14ac:dyDescent="0.25">
      <c r="A216" s="7">
        <v>46061</v>
      </c>
      <c r="B216" s="14" t="s">
        <v>5</v>
      </c>
      <c r="C216" s="15" t="s">
        <v>27</v>
      </c>
      <c r="D216" s="15" t="s">
        <v>33</v>
      </c>
      <c r="E216" s="14" t="str">
        <f ca="1">PROPER(TRIM(CLEAN(ShoeSales[[#This Row],[Brand]])))</f>
        <v>Clarks</v>
      </c>
      <c r="F216" s="15" t="s">
        <v>36</v>
      </c>
      <c r="G216" s="3">
        <v>4</v>
      </c>
      <c r="H216" s="15" t="s">
        <v>32</v>
      </c>
      <c r="I216" s="5">
        <f>VLOOKUP(ShoeSales[[#This Row],[Product]],Price!$A$2:C223,2,)</f>
        <v>89</v>
      </c>
      <c r="J216" s="5">
        <f>VLOOKUP(ShoeSales[[#This Row],[Product]],Price!$A$2:C223,3,)</f>
        <v>47</v>
      </c>
      <c r="K216" s="5">
        <f>ShoeSales[[#This Row],[Quantity]]*ShoeSales[[#This Row],[Unit_price]]</f>
        <v>356</v>
      </c>
      <c r="L216" s="5">
        <f>ShoeSales[[#This Row],[Quantity]]*ShoeSales[[#This Row],[Unit_cost]]</f>
        <v>188</v>
      </c>
      <c r="M216" s="5">
        <f>ShoeSales[[#This Row],[Revenue]]-ShoeSales[[#This Row],[Total_cost]]</f>
        <v>168</v>
      </c>
      <c r="N216" s="11">
        <f>ShoeSales[[#This Row],[Profit]]/ShoeSales[[#This Row],[Revenue]]</f>
        <v>0.47191011235955055</v>
      </c>
    </row>
    <row r="217" spans="1:14" ht="14.25" customHeight="1" x14ac:dyDescent="0.25">
      <c r="A217" s="8">
        <v>46187</v>
      </c>
      <c r="B217" s="14" t="s">
        <v>10</v>
      </c>
      <c r="C217" s="16" t="s">
        <v>48</v>
      </c>
      <c r="D217" s="16" t="s">
        <v>38</v>
      </c>
      <c r="E217" s="14" t="str">
        <f ca="1">PROPER(TRIM(CLEAN(ShoeSales[[#This Row],[Brand]])))</f>
        <v>Nike</v>
      </c>
      <c r="F217" s="16" t="s">
        <v>49</v>
      </c>
      <c r="G217" s="4">
        <v>8</v>
      </c>
      <c r="H217" s="16" t="s">
        <v>41</v>
      </c>
      <c r="I217" s="5">
        <f>VLOOKUP(ShoeSales[[#This Row],[Product]],Price!$A$2:C224,2,)</f>
        <v>105</v>
      </c>
      <c r="J217" s="5">
        <f>VLOOKUP(ShoeSales[[#This Row],[Product]],Price!$A$2:C224,3,)</f>
        <v>58</v>
      </c>
      <c r="K217" s="5">
        <f>ShoeSales[[#This Row],[Quantity]]*ShoeSales[[#This Row],[Unit_price]]</f>
        <v>840</v>
      </c>
      <c r="L217" s="5">
        <f>ShoeSales[[#This Row],[Quantity]]*ShoeSales[[#This Row],[Unit_cost]]</f>
        <v>464</v>
      </c>
      <c r="M217" s="5">
        <f>ShoeSales[[#This Row],[Revenue]]-ShoeSales[[#This Row],[Total_cost]]</f>
        <v>376</v>
      </c>
      <c r="N217" s="11">
        <f>ShoeSales[[#This Row],[Profit]]/ShoeSales[[#This Row],[Revenue]]</f>
        <v>0.44761904761904764</v>
      </c>
    </row>
    <row r="218" spans="1:14" ht="14.25" customHeight="1" x14ac:dyDescent="0.25">
      <c r="A218" s="7">
        <v>46148</v>
      </c>
      <c r="B218" s="14" t="s">
        <v>9</v>
      </c>
      <c r="C218" s="15" t="s">
        <v>52</v>
      </c>
      <c r="D218" s="15" t="s">
        <v>28</v>
      </c>
      <c r="E218" s="14" t="str">
        <f ca="1">PROPER(TRIM(CLEAN(ShoeSales[[#This Row],[Brand]])))</f>
        <v>Zara</v>
      </c>
      <c r="F218" s="15" t="s">
        <v>29</v>
      </c>
      <c r="G218" s="3">
        <v>8</v>
      </c>
      <c r="H218" s="15" t="s">
        <v>41</v>
      </c>
      <c r="I218" s="5">
        <f>VLOOKUP(ShoeSales[[#This Row],[Product]],Price!$A$2:C225,2,)</f>
        <v>128</v>
      </c>
      <c r="J218" s="5">
        <f>VLOOKUP(ShoeSales[[#This Row],[Product]],Price!$A$2:C225,3,)</f>
        <v>72</v>
      </c>
      <c r="K218" s="5">
        <f>ShoeSales[[#This Row],[Quantity]]*ShoeSales[[#This Row],[Unit_price]]</f>
        <v>1024</v>
      </c>
      <c r="L218" s="5">
        <f>ShoeSales[[#This Row],[Quantity]]*ShoeSales[[#This Row],[Unit_cost]]</f>
        <v>576</v>
      </c>
      <c r="M218" s="5">
        <f>ShoeSales[[#This Row],[Revenue]]-ShoeSales[[#This Row],[Total_cost]]</f>
        <v>448</v>
      </c>
      <c r="N218" s="11">
        <f>ShoeSales[[#This Row],[Profit]]/ShoeSales[[#This Row],[Revenue]]</f>
        <v>0.4375</v>
      </c>
    </row>
    <row r="219" spans="1:14" ht="14.25" customHeight="1" x14ac:dyDescent="0.25">
      <c r="A219" s="8">
        <v>46080</v>
      </c>
      <c r="B219" s="14" t="s">
        <v>8</v>
      </c>
      <c r="C219" s="16" t="s">
        <v>27</v>
      </c>
      <c r="D219" s="16" t="s">
        <v>38</v>
      </c>
      <c r="E219" s="14" t="str">
        <f ca="1">PROPER(TRIM(CLEAN(ShoeSales[[#This Row],[Brand]])))</f>
        <v>Zara</v>
      </c>
      <c r="F219" s="16" t="s">
        <v>34</v>
      </c>
      <c r="G219" s="4">
        <v>8</v>
      </c>
      <c r="H219" s="16" t="s">
        <v>41</v>
      </c>
      <c r="I219" s="5">
        <f>VLOOKUP(ShoeSales[[#This Row],[Product]],Price!$A$2:C226,2,)</f>
        <v>76</v>
      </c>
      <c r="J219" s="5">
        <f>VLOOKUP(ShoeSales[[#This Row],[Product]],Price!$A$2:C226,3,)</f>
        <v>39</v>
      </c>
      <c r="K219" s="5">
        <f>ShoeSales[[#This Row],[Quantity]]*ShoeSales[[#This Row],[Unit_price]]</f>
        <v>608</v>
      </c>
      <c r="L219" s="5">
        <f>ShoeSales[[#This Row],[Quantity]]*ShoeSales[[#This Row],[Unit_cost]]</f>
        <v>312</v>
      </c>
      <c r="M219" s="5">
        <f>ShoeSales[[#This Row],[Revenue]]-ShoeSales[[#This Row],[Total_cost]]</f>
        <v>296</v>
      </c>
      <c r="N219" s="11">
        <f>ShoeSales[[#This Row],[Profit]]/ShoeSales[[#This Row],[Revenue]]</f>
        <v>0.48684210526315791</v>
      </c>
    </row>
    <row r="220" spans="1:14" ht="14.25" customHeight="1" x14ac:dyDescent="0.25">
      <c r="A220" s="7">
        <v>46151</v>
      </c>
      <c r="B220" s="14" t="s">
        <v>7</v>
      </c>
      <c r="C220" s="15" t="s">
        <v>37</v>
      </c>
      <c r="D220" s="15" t="s">
        <v>28</v>
      </c>
      <c r="E220" s="14" t="str">
        <f ca="1">PROPER(TRIM(CLEAN(ShoeSales[[#This Row],[Brand]])))</f>
        <v>Zara</v>
      </c>
      <c r="F220" s="15" t="s">
        <v>29</v>
      </c>
      <c r="G220" s="3">
        <v>6</v>
      </c>
      <c r="H220" s="15" t="s">
        <v>32</v>
      </c>
      <c r="I220" s="5">
        <f>VLOOKUP(ShoeSales[[#This Row],[Product]],Price!$A$2:C227,2,)</f>
        <v>32</v>
      </c>
      <c r="J220" s="5">
        <f>VLOOKUP(ShoeSales[[#This Row],[Product]],Price!$A$2:C227,3,)</f>
        <v>14</v>
      </c>
      <c r="K220" s="5">
        <f>ShoeSales[[#This Row],[Quantity]]*ShoeSales[[#This Row],[Unit_price]]</f>
        <v>192</v>
      </c>
      <c r="L220" s="5">
        <f>ShoeSales[[#This Row],[Quantity]]*ShoeSales[[#This Row],[Unit_cost]]</f>
        <v>84</v>
      </c>
      <c r="M220" s="5">
        <f>ShoeSales[[#This Row],[Revenue]]-ShoeSales[[#This Row],[Total_cost]]</f>
        <v>108</v>
      </c>
      <c r="N220" s="11">
        <f>ShoeSales[[#This Row],[Profit]]/ShoeSales[[#This Row],[Revenue]]</f>
        <v>0.5625</v>
      </c>
    </row>
    <row r="221" spans="1:14" ht="14.25" customHeight="1" x14ac:dyDescent="0.25">
      <c r="A221" s="8">
        <v>46083</v>
      </c>
      <c r="B221" s="14" t="s">
        <v>8</v>
      </c>
      <c r="C221" s="16" t="s">
        <v>48</v>
      </c>
      <c r="D221" s="16" t="s">
        <v>42</v>
      </c>
      <c r="E221" s="14" t="str">
        <f ca="1">PROPER(TRIM(CLEAN(ShoeSales[[#This Row],[Brand]])))</f>
        <v>Timberland</v>
      </c>
      <c r="F221" s="16" t="s">
        <v>35</v>
      </c>
      <c r="G221" s="4">
        <v>4</v>
      </c>
      <c r="H221" s="16" t="s">
        <v>45</v>
      </c>
      <c r="I221" s="5">
        <f>VLOOKUP(ShoeSales[[#This Row],[Product]],Price!$A$2:C228,2,)</f>
        <v>76</v>
      </c>
      <c r="J221" s="5">
        <f>VLOOKUP(ShoeSales[[#This Row],[Product]],Price!$A$2:C228,3,)</f>
        <v>39</v>
      </c>
      <c r="K221" s="5">
        <f>ShoeSales[[#This Row],[Quantity]]*ShoeSales[[#This Row],[Unit_price]]</f>
        <v>304</v>
      </c>
      <c r="L221" s="5">
        <f>ShoeSales[[#This Row],[Quantity]]*ShoeSales[[#This Row],[Unit_cost]]</f>
        <v>156</v>
      </c>
      <c r="M221" s="5">
        <f>ShoeSales[[#This Row],[Revenue]]-ShoeSales[[#This Row],[Total_cost]]</f>
        <v>148</v>
      </c>
      <c r="N221" s="11">
        <f>ShoeSales[[#This Row],[Profit]]/ShoeSales[[#This Row],[Revenue]]</f>
        <v>0.48684210526315791</v>
      </c>
    </row>
    <row r="222" spans="1:14" ht="14.25" customHeight="1" x14ac:dyDescent="0.25">
      <c r="A222" s="7">
        <v>46245</v>
      </c>
      <c r="B222" s="14" t="s">
        <v>5</v>
      </c>
      <c r="C222" s="15" t="s">
        <v>27</v>
      </c>
      <c r="D222" s="15" t="s">
        <v>38</v>
      </c>
      <c r="E222" s="14" t="str">
        <f ca="1">PROPER(TRIM(CLEAN(ShoeSales[[#This Row],[Brand]])))</f>
        <v>Zara</v>
      </c>
      <c r="F222" s="15" t="s">
        <v>43</v>
      </c>
      <c r="G222" s="3">
        <v>14</v>
      </c>
      <c r="H222" s="15" t="s">
        <v>45</v>
      </c>
      <c r="I222" s="5">
        <f>VLOOKUP(ShoeSales[[#This Row],[Product]],Price!$A$2:C229,2,)</f>
        <v>89</v>
      </c>
      <c r="J222" s="5">
        <f>VLOOKUP(ShoeSales[[#This Row],[Product]],Price!$A$2:C229,3,)</f>
        <v>47</v>
      </c>
      <c r="K222" s="5">
        <f>ShoeSales[[#This Row],[Quantity]]*ShoeSales[[#This Row],[Unit_price]]</f>
        <v>1246</v>
      </c>
      <c r="L222" s="5">
        <f>ShoeSales[[#This Row],[Quantity]]*ShoeSales[[#This Row],[Unit_cost]]</f>
        <v>658</v>
      </c>
      <c r="M222" s="5">
        <f>ShoeSales[[#This Row],[Revenue]]-ShoeSales[[#This Row],[Total_cost]]</f>
        <v>588</v>
      </c>
      <c r="N222" s="11">
        <f>ShoeSales[[#This Row],[Profit]]/ShoeSales[[#This Row],[Revenue]]</f>
        <v>0.47191011235955055</v>
      </c>
    </row>
    <row r="223" spans="1:14" ht="14.25" customHeight="1" x14ac:dyDescent="0.25">
      <c r="A223" s="8">
        <v>46052</v>
      </c>
      <c r="B223" s="14" t="s">
        <v>5</v>
      </c>
      <c r="C223" s="16" t="s">
        <v>27</v>
      </c>
      <c r="D223" s="16" t="s">
        <v>33</v>
      </c>
      <c r="E223" s="14" t="str">
        <f ca="1">PROPER(TRIM(CLEAN(ShoeSales[[#This Row],[Brand]])))</f>
        <v>Nike</v>
      </c>
      <c r="F223" s="16" t="s">
        <v>53</v>
      </c>
      <c r="G223" s="4">
        <v>7</v>
      </c>
      <c r="H223" s="16" t="s">
        <v>45</v>
      </c>
      <c r="I223" s="5">
        <f>VLOOKUP(ShoeSales[[#This Row],[Product]],Price!$A$2:C230,2,)</f>
        <v>89</v>
      </c>
      <c r="J223" s="5">
        <f>VLOOKUP(ShoeSales[[#This Row],[Product]],Price!$A$2:C230,3,)</f>
        <v>47</v>
      </c>
      <c r="K223" s="5">
        <f>ShoeSales[[#This Row],[Quantity]]*ShoeSales[[#This Row],[Unit_price]]</f>
        <v>623</v>
      </c>
      <c r="L223" s="5">
        <f>ShoeSales[[#This Row],[Quantity]]*ShoeSales[[#This Row],[Unit_cost]]</f>
        <v>329</v>
      </c>
      <c r="M223" s="5">
        <f>ShoeSales[[#This Row],[Revenue]]-ShoeSales[[#This Row],[Total_cost]]</f>
        <v>294</v>
      </c>
      <c r="N223" s="11">
        <f>ShoeSales[[#This Row],[Profit]]/ShoeSales[[#This Row],[Revenue]]</f>
        <v>0.47191011235955055</v>
      </c>
    </row>
    <row r="224" spans="1:14" ht="14.25" customHeight="1" x14ac:dyDescent="0.25">
      <c r="A224" s="7">
        <v>46141</v>
      </c>
      <c r="B224" s="14" t="s">
        <v>12</v>
      </c>
      <c r="C224" s="15" t="s">
        <v>27</v>
      </c>
      <c r="D224" s="15" t="s">
        <v>42</v>
      </c>
      <c r="E224" s="14" t="str">
        <f ca="1">PROPER(TRIM(CLEAN(ShoeSales[[#This Row],[Brand]])))</f>
        <v>Timberland</v>
      </c>
      <c r="F224" s="15" t="s">
        <v>46</v>
      </c>
      <c r="G224" s="3">
        <v>8</v>
      </c>
      <c r="H224" s="15" t="s">
        <v>30</v>
      </c>
      <c r="I224" s="5">
        <f>VLOOKUP(ShoeSales[[#This Row],[Product]],Price!$A$2:C231,2,)</f>
        <v>112</v>
      </c>
      <c r="J224" s="5">
        <f>VLOOKUP(ShoeSales[[#This Row],[Product]],Price!$A$2:C231,3,)</f>
        <v>64</v>
      </c>
      <c r="K224" s="5">
        <f>ShoeSales[[#This Row],[Quantity]]*ShoeSales[[#This Row],[Unit_price]]</f>
        <v>896</v>
      </c>
      <c r="L224" s="5">
        <f>ShoeSales[[#This Row],[Quantity]]*ShoeSales[[#This Row],[Unit_cost]]</f>
        <v>512</v>
      </c>
      <c r="M224" s="5">
        <f>ShoeSales[[#This Row],[Revenue]]-ShoeSales[[#This Row],[Total_cost]]</f>
        <v>384</v>
      </c>
      <c r="N224" s="11">
        <f>ShoeSales[[#This Row],[Profit]]/ShoeSales[[#This Row],[Revenue]]</f>
        <v>0.42857142857142855</v>
      </c>
    </row>
    <row r="225" spans="1:14" ht="14.25" customHeight="1" x14ac:dyDescent="0.25">
      <c r="A225" s="8">
        <v>46054</v>
      </c>
      <c r="B225" s="14" t="s">
        <v>10</v>
      </c>
      <c r="C225" s="16" t="s">
        <v>27</v>
      </c>
      <c r="D225" s="16" t="s">
        <v>31</v>
      </c>
      <c r="E225" s="14" t="str">
        <f ca="1">PROPER(TRIM(CLEAN(ShoeSales[[#This Row],[Brand]])))</f>
        <v>Clarks</v>
      </c>
      <c r="F225" s="16" t="s">
        <v>40</v>
      </c>
      <c r="G225" s="4">
        <v>12</v>
      </c>
      <c r="H225" s="16" t="s">
        <v>32</v>
      </c>
      <c r="I225" s="5">
        <f>VLOOKUP(ShoeSales[[#This Row],[Product]],Price!$A$2:C232,2,)</f>
        <v>105</v>
      </c>
      <c r="J225" s="5">
        <f>VLOOKUP(ShoeSales[[#This Row],[Product]],Price!$A$2:C232,3,)</f>
        <v>58</v>
      </c>
      <c r="K225" s="5">
        <f>ShoeSales[[#This Row],[Quantity]]*ShoeSales[[#This Row],[Unit_price]]</f>
        <v>1260</v>
      </c>
      <c r="L225" s="5">
        <f>ShoeSales[[#This Row],[Quantity]]*ShoeSales[[#This Row],[Unit_cost]]</f>
        <v>696</v>
      </c>
      <c r="M225" s="5">
        <f>ShoeSales[[#This Row],[Revenue]]-ShoeSales[[#This Row],[Total_cost]]</f>
        <v>564</v>
      </c>
      <c r="N225" s="11">
        <f>ShoeSales[[#This Row],[Profit]]/ShoeSales[[#This Row],[Revenue]]</f>
        <v>0.44761904761904764</v>
      </c>
    </row>
    <row r="226" spans="1:14" ht="14.25" customHeight="1" x14ac:dyDescent="0.25">
      <c r="A226" s="7">
        <v>46037</v>
      </c>
      <c r="B226" s="14" t="s">
        <v>15</v>
      </c>
      <c r="C226" s="15" t="s">
        <v>27</v>
      </c>
      <c r="D226" s="15" t="s">
        <v>42</v>
      </c>
      <c r="E226" s="14" t="str">
        <f ca="1">PROPER(TRIM(CLEAN(ShoeSales[[#This Row],[Brand]])))</f>
        <v>Steve Madden</v>
      </c>
      <c r="F226" s="15" t="s">
        <v>36</v>
      </c>
      <c r="G226" s="3">
        <v>8</v>
      </c>
      <c r="H226" s="15" t="s">
        <v>32</v>
      </c>
      <c r="I226" s="5">
        <f>VLOOKUP(ShoeSales[[#This Row],[Product]],Price!$A$2:C233,2,)</f>
        <v>119</v>
      </c>
      <c r="J226" s="5">
        <f>VLOOKUP(ShoeSales[[#This Row],[Product]],Price!$A$2:C233,3,)</f>
        <v>67</v>
      </c>
      <c r="K226" s="5">
        <f>ShoeSales[[#This Row],[Quantity]]*ShoeSales[[#This Row],[Unit_price]]</f>
        <v>952</v>
      </c>
      <c r="L226" s="5">
        <f>ShoeSales[[#This Row],[Quantity]]*ShoeSales[[#This Row],[Unit_cost]]</f>
        <v>536</v>
      </c>
      <c r="M226" s="5">
        <f>ShoeSales[[#This Row],[Revenue]]-ShoeSales[[#This Row],[Total_cost]]</f>
        <v>416</v>
      </c>
      <c r="N226" s="11">
        <f>ShoeSales[[#This Row],[Profit]]/ShoeSales[[#This Row],[Revenue]]</f>
        <v>0.43697478991596639</v>
      </c>
    </row>
    <row r="227" spans="1:14" ht="14.25" customHeight="1" x14ac:dyDescent="0.25">
      <c r="A227" s="8">
        <v>46157</v>
      </c>
      <c r="B227" s="14" t="s">
        <v>10</v>
      </c>
      <c r="C227" s="16" t="s">
        <v>52</v>
      </c>
      <c r="D227" s="16" t="s">
        <v>28</v>
      </c>
      <c r="E227" s="14" t="str">
        <f ca="1">PROPER(TRIM(CLEAN(ShoeSales[[#This Row],[Brand]])))</f>
        <v>Nike</v>
      </c>
      <c r="F227" s="16" t="s">
        <v>50</v>
      </c>
      <c r="G227" s="4">
        <v>11</v>
      </c>
      <c r="H227" s="16" t="s">
        <v>41</v>
      </c>
      <c r="I227" s="5">
        <f>VLOOKUP(ShoeSales[[#This Row],[Product]],Price!$A$2:C234,2,)</f>
        <v>105</v>
      </c>
      <c r="J227" s="5">
        <f>VLOOKUP(ShoeSales[[#This Row],[Product]],Price!$A$2:C234,3,)</f>
        <v>58</v>
      </c>
      <c r="K227" s="5">
        <f>ShoeSales[[#This Row],[Quantity]]*ShoeSales[[#This Row],[Unit_price]]</f>
        <v>1155</v>
      </c>
      <c r="L227" s="5">
        <f>ShoeSales[[#This Row],[Quantity]]*ShoeSales[[#This Row],[Unit_cost]]</f>
        <v>638</v>
      </c>
      <c r="M227" s="5">
        <f>ShoeSales[[#This Row],[Revenue]]-ShoeSales[[#This Row],[Total_cost]]</f>
        <v>517</v>
      </c>
      <c r="N227" s="11">
        <f>ShoeSales[[#This Row],[Profit]]/ShoeSales[[#This Row],[Revenue]]</f>
        <v>0.44761904761904764</v>
      </c>
    </row>
    <row r="228" spans="1:14" ht="14.25" customHeight="1" x14ac:dyDescent="0.25">
      <c r="A228" s="7">
        <v>46239</v>
      </c>
      <c r="B228" s="14" t="s">
        <v>8</v>
      </c>
      <c r="C228" s="15" t="s">
        <v>37</v>
      </c>
      <c r="D228" s="15" t="s">
        <v>42</v>
      </c>
      <c r="E228" s="14" t="str">
        <f ca="1">PROPER(TRIM(CLEAN(ShoeSales[[#This Row],[Brand]])))</f>
        <v>Zara</v>
      </c>
      <c r="F228" s="15" t="s">
        <v>49</v>
      </c>
      <c r="G228" s="3">
        <v>2</v>
      </c>
      <c r="H228" s="15" t="s">
        <v>45</v>
      </c>
      <c r="I228" s="5">
        <f>VLOOKUP(ShoeSales[[#This Row],[Product]],Price!$A$2:C235,2,)</f>
        <v>76</v>
      </c>
      <c r="J228" s="5">
        <f>VLOOKUP(ShoeSales[[#This Row],[Product]],Price!$A$2:C235,3,)</f>
        <v>39</v>
      </c>
      <c r="K228" s="5">
        <f>ShoeSales[[#This Row],[Quantity]]*ShoeSales[[#This Row],[Unit_price]]</f>
        <v>152</v>
      </c>
      <c r="L228" s="5">
        <f>ShoeSales[[#This Row],[Quantity]]*ShoeSales[[#This Row],[Unit_cost]]</f>
        <v>78</v>
      </c>
      <c r="M228" s="5">
        <f>ShoeSales[[#This Row],[Revenue]]-ShoeSales[[#This Row],[Total_cost]]</f>
        <v>74</v>
      </c>
      <c r="N228" s="11">
        <f>ShoeSales[[#This Row],[Profit]]/ShoeSales[[#This Row],[Revenue]]</f>
        <v>0.48684210526315791</v>
      </c>
    </row>
    <row r="229" spans="1:14" ht="14.25" customHeight="1" x14ac:dyDescent="0.25">
      <c r="A229" s="8">
        <v>46124</v>
      </c>
      <c r="B229" s="14" t="s">
        <v>15</v>
      </c>
      <c r="C229" s="16" t="s">
        <v>27</v>
      </c>
      <c r="D229" s="16" t="s">
        <v>33</v>
      </c>
      <c r="E229" s="14" t="str">
        <f ca="1">PROPER(TRIM(CLEAN(ShoeSales[[#This Row],[Brand]])))</f>
        <v>Steve Madden</v>
      </c>
      <c r="F229" s="16" t="s">
        <v>53</v>
      </c>
      <c r="G229" s="4">
        <v>7</v>
      </c>
      <c r="H229" s="16" t="s">
        <v>30</v>
      </c>
      <c r="I229" s="5">
        <f>VLOOKUP(ShoeSales[[#This Row],[Product]],Price!$A$2:C236,2,)</f>
        <v>119</v>
      </c>
      <c r="J229" s="5">
        <f>VLOOKUP(ShoeSales[[#This Row],[Product]],Price!$A$2:C236,3,)</f>
        <v>67</v>
      </c>
      <c r="K229" s="5">
        <f>ShoeSales[[#This Row],[Quantity]]*ShoeSales[[#This Row],[Unit_price]]</f>
        <v>833</v>
      </c>
      <c r="L229" s="5">
        <f>ShoeSales[[#This Row],[Quantity]]*ShoeSales[[#This Row],[Unit_cost]]</f>
        <v>469</v>
      </c>
      <c r="M229" s="5">
        <f>ShoeSales[[#This Row],[Revenue]]-ShoeSales[[#This Row],[Total_cost]]</f>
        <v>364</v>
      </c>
      <c r="N229" s="11">
        <f>ShoeSales[[#This Row],[Profit]]/ShoeSales[[#This Row],[Revenue]]</f>
        <v>0.43697478991596639</v>
      </c>
    </row>
    <row r="230" spans="1:14" ht="14.25" customHeight="1" x14ac:dyDescent="0.25">
      <c r="A230" s="7">
        <v>46061</v>
      </c>
      <c r="B230" s="14" t="s">
        <v>15</v>
      </c>
      <c r="C230" s="15" t="s">
        <v>27</v>
      </c>
      <c r="D230" s="15" t="s">
        <v>38</v>
      </c>
      <c r="E230" s="14" t="str">
        <f ca="1">PROPER(TRIM(CLEAN(ShoeSales[[#This Row],[Brand]])))</f>
        <v>Zara</v>
      </c>
      <c r="F230" s="15" t="s">
        <v>40</v>
      </c>
      <c r="G230" s="3">
        <v>1</v>
      </c>
      <c r="H230" s="15" t="s">
        <v>45</v>
      </c>
      <c r="I230" s="5">
        <f>VLOOKUP(ShoeSales[[#This Row],[Product]],Price!$A$2:C237,2,)</f>
        <v>119</v>
      </c>
      <c r="J230" s="5">
        <f>VLOOKUP(ShoeSales[[#This Row],[Product]],Price!$A$2:C237,3,)</f>
        <v>67</v>
      </c>
      <c r="K230" s="5">
        <f>ShoeSales[[#This Row],[Quantity]]*ShoeSales[[#This Row],[Unit_price]]</f>
        <v>119</v>
      </c>
      <c r="L230" s="5">
        <f>ShoeSales[[#This Row],[Quantity]]*ShoeSales[[#This Row],[Unit_cost]]</f>
        <v>67</v>
      </c>
      <c r="M230" s="5">
        <f>ShoeSales[[#This Row],[Revenue]]-ShoeSales[[#This Row],[Total_cost]]</f>
        <v>52</v>
      </c>
      <c r="N230" s="11">
        <f>ShoeSales[[#This Row],[Profit]]/ShoeSales[[#This Row],[Revenue]]</f>
        <v>0.43697478991596639</v>
      </c>
    </row>
    <row r="231" spans="1:14" ht="14.25" customHeight="1" x14ac:dyDescent="0.25">
      <c r="A231" s="8">
        <v>46090</v>
      </c>
      <c r="B231" s="14" t="s">
        <v>7</v>
      </c>
      <c r="C231" s="16" t="s">
        <v>37</v>
      </c>
      <c r="D231" s="16" t="s">
        <v>38</v>
      </c>
      <c r="E231" s="14" t="str">
        <f ca="1">PROPER(TRIM(CLEAN(ShoeSales[[#This Row],[Brand]])))</f>
        <v>Nike</v>
      </c>
      <c r="F231" s="16" t="s">
        <v>51</v>
      </c>
      <c r="G231" s="4">
        <v>11</v>
      </c>
      <c r="H231" s="16" t="s">
        <v>41</v>
      </c>
      <c r="I231" s="5">
        <f>VLOOKUP(ShoeSales[[#This Row],[Product]],Price!$A$2:C238,2,)</f>
        <v>32</v>
      </c>
      <c r="J231" s="5">
        <f>VLOOKUP(ShoeSales[[#This Row],[Product]],Price!$A$2:C238,3,)</f>
        <v>14</v>
      </c>
      <c r="K231" s="5">
        <f>ShoeSales[[#This Row],[Quantity]]*ShoeSales[[#This Row],[Unit_price]]</f>
        <v>352</v>
      </c>
      <c r="L231" s="5">
        <f>ShoeSales[[#This Row],[Quantity]]*ShoeSales[[#This Row],[Unit_cost]]</f>
        <v>154</v>
      </c>
      <c r="M231" s="5">
        <f>ShoeSales[[#This Row],[Revenue]]-ShoeSales[[#This Row],[Total_cost]]</f>
        <v>198</v>
      </c>
      <c r="N231" s="11">
        <f>ShoeSales[[#This Row],[Profit]]/ShoeSales[[#This Row],[Revenue]]</f>
        <v>0.5625</v>
      </c>
    </row>
    <row r="232" spans="1:14" ht="14.25" customHeight="1" x14ac:dyDescent="0.25">
      <c r="A232" s="7">
        <v>46182</v>
      </c>
      <c r="B232" s="14" t="s">
        <v>12</v>
      </c>
      <c r="C232" s="15" t="s">
        <v>48</v>
      </c>
      <c r="D232" s="15" t="s">
        <v>42</v>
      </c>
      <c r="E232" s="14" t="str">
        <f ca="1">PROPER(TRIM(CLEAN(ShoeSales[[#This Row],[Brand]])))</f>
        <v>Nike</v>
      </c>
      <c r="F232" s="15" t="s">
        <v>39</v>
      </c>
      <c r="G232" s="3">
        <v>14</v>
      </c>
      <c r="H232" s="15" t="s">
        <v>30</v>
      </c>
      <c r="I232" s="5">
        <f>VLOOKUP(ShoeSales[[#This Row],[Product]],Price!$A$2:C239,2,)</f>
        <v>112</v>
      </c>
      <c r="J232" s="5">
        <f>VLOOKUP(ShoeSales[[#This Row],[Product]],Price!$A$2:C239,3,)</f>
        <v>64</v>
      </c>
      <c r="K232" s="5">
        <f>ShoeSales[[#This Row],[Quantity]]*ShoeSales[[#This Row],[Unit_price]]</f>
        <v>1568</v>
      </c>
      <c r="L232" s="5">
        <f>ShoeSales[[#This Row],[Quantity]]*ShoeSales[[#This Row],[Unit_cost]]</f>
        <v>896</v>
      </c>
      <c r="M232" s="5">
        <f>ShoeSales[[#This Row],[Revenue]]-ShoeSales[[#This Row],[Total_cost]]</f>
        <v>672</v>
      </c>
      <c r="N232" s="11">
        <f>ShoeSales[[#This Row],[Profit]]/ShoeSales[[#This Row],[Revenue]]</f>
        <v>0.42857142857142855</v>
      </c>
    </row>
    <row r="233" spans="1:14" ht="14.25" customHeight="1" x14ac:dyDescent="0.25">
      <c r="A233" s="8">
        <v>46120</v>
      </c>
      <c r="B233" s="14" t="s">
        <v>15</v>
      </c>
      <c r="C233" s="16" t="s">
        <v>27</v>
      </c>
      <c r="D233" s="16" t="s">
        <v>42</v>
      </c>
      <c r="E233" s="14" t="str">
        <f ca="1">PROPER(TRIM(CLEAN(ShoeSales[[#This Row],[Brand]])))</f>
        <v>Zara</v>
      </c>
      <c r="F233" s="16" t="s">
        <v>39</v>
      </c>
      <c r="G233" s="4">
        <v>4</v>
      </c>
      <c r="H233" s="16" t="s">
        <v>41</v>
      </c>
      <c r="I233" s="5">
        <f>VLOOKUP(ShoeSales[[#This Row],[Product]],Price!$A$2:C240,2,)</f>
        <v>119</v>
      </c>
      <c r="J233" s="5">
        <f>VLOOKUP(ShoeSales[[#This Row],[Product]],Price!$A$2:C240,3,)</f>
        <v>67</v>
      </c>
      <c r="K233" s="5">
        <f>ShoeSales[[#This Row],[Quantity]]*ShoeSales[[#This Row],[Unit_price]]</f>
        <v>476</v>
      </c>
      <c r="L233" s="5">
        <f>ShoeSales[[#This Row],[Quantity]]*ShoeSales[[#This Row],[Unit_cost]]</f>
        <v>268</v>
      </c>
      <c r="M233" s="5">
        <f>ShoeSales[[#This Row],[Revenue]]-ShoeSales[[#This Row],[Total_cost]]</f>
        <v>208</v>
      </c>
      <c r="N233" s="11">
        <f>ShoeSales[[#This Row],[Profit]]/ShoeSales[[#This Row],[Revenue]]</f>
        <v>0.43697478991596639</v>
      </c>
    </row>
    <row r="234" spans="1:14" ht="14.25" customHeight="1" x14ac:dyDescent="0.25">
      <c r="A234" s="7">
        <v>46148</v>
      </c>
      <c r="B234" s="14" t="s">
        <v>8</v>
      </c>
      <c r="C234" s="15" t="s">
        <v>27</v>
      </c>
      <c r="D234" s="15" t="s">
        <v>38</v>
      </c>
      <c r="E234" s="14" t="str">
        <f ca="1">PROPER(TRIM(CLEAN(ShoeSales[[#This Row],[Brand]])))</f>
        <v>Clarks</v>
      </c>
      <c r="F234" s="15" t="s">
        <v>44</v>
      </c>
      <c r="G234" s="3">
        <v>5</v>
      </c>
      <c r="H234" s="15" t="s">
        <v>32</v>
      </c>
      <c r="I234" s="5">
        <f>VLOOKUP(ShoeSales[[#This Row],[Product]],Price!$A$2:C241,2,)</f>
        <v>76</v>
      </c>
      <c r="J234" s="5">
        <f>VLOOKUP(ShoeSales[[#This Row],[Product]],Price!$A$2:C241,3,)</f>
        <v>39</v>
      </c>
      <c r="K234" s="5">
        <f>ShoeSales[[#This Row],[Quantity]]*ShoeSales[[#This Row],[Unit_price]]</f>
        <v>380</v>
      </c>
      <c r="L234" s="5">
        <f>ShoeSales[[#This Row],[Quantity]]*ShoeSales[[#This Row],[Unit_cost]]</f>
        <v>195</v>
      </c>
      <c r="M234" s="5">
        <f>ShoeSales[[#This Row],[Revenue]]-ShoeSales[[#This Row],[Total_cost]]</f>
        <v>185</v>
      </c>
      <c r="N234" s="11">
        <f>ShoeSales[[#This Row],[Profit]]/ShoeSales[[#This Row],[Revenue]]</f>
        <v>0.48684210526315791</v>
      </c>
    </row>
    <row r="235" spans="1:14" ht="14.25" customHeight="1" x14ac:dyDescent="0.25">
      <c r="A235" s="8">
        <v>46228</v>
      </c>
      <c r="B235" s="14" t="s">
        <v>9</v>
      </c>
      <c r="C235" s="16" t="s">
        <v>27</v>
      </c>
      <c r="D235" s="16" t="s">
        <v>42</v>
      </c>
      <c r="E235" s="14" t="str">
        <f ca="1">PROPER(TRIM(CLEAN(ShoeSales[[#This Row],[Brand]])))</f>
        <v>Clarks</v>
      </c>
      <c r="F235" s="16" t="s">
        <v>34</v>
      </c>
      <c r="G235" s="4">
        <v>5</v>
      </c>
      <c r="H235" s="16" t="s">
        <v>45</v>
      </c>
      <c r="I235" s="5">
        <f>VLOOKUP(ShoeSales[[#This Row],[Product]],Price!$A$2:C242,2,)</f>
        <v>128</v>
      </c>
      <c r="J235" s="5">
        <f>VLOOKUP(ShoeSales[[#This Row],[Product]],Price!$A$2:C242,3,)</f>
        <v>72</v>
      </c>
      <c r="K235" s="5">
        <f>ShoeSales[[#This Row],[Quantity]]*ShoeSales[[#This Row],[Unit_price]]</f>
        <v>640</v>
      </c>
      <c r="L235" s="5">
        <f>ShoeSales[[#This Row],[Quantity]]*ShoeSales[[#This Row],[Unit_cost]]</f>
        <v>360</v>
      </c>
      <c r="M235" s="5">
        <f>ShoeSales[[#This Row],[Revenue]]-ShoeSales[[#This Row],[Total_cost]]</f>
        <v>280</v>
      </c>
      <c r="N235" s="11">
        <f>ShoeSales[[#This Row],[Profit]]/ShoeSales[[#This Row],[Revenue]]</f>
        <v>0.4375</v>
      </c>
    </row>
    <row r="236" spans="1:14" ht="14.25" customHeight="1" x14ac:dyDescent="0.25">
      <c r="A236" s="7">
        <v>46185</v>
      </c>
      <c r="B236" s="14" t="s">
        <v>7</v>
      </c>
      <c r="C236" s="15" t="s">
        <v>27</v>
      </c>
      <c r="D236" s="15" t="s">
        <v>33</v>
      </c>
      <c r="E236" s="14" t="str">
        <f ca="1">PROPER(TRIM(CLEAN(ShoeSales[[#This Row],[Brand]])))</f>
        <v>Zara</v>
      </c>
      <c r="F236" s="15" t="s">
        <v>40</v>
      </c>
      <c r="G236" s="3">
        <v>15</v>
      </c>
      <c r="H236" s="15" t="s">
        <v>30</v>
      </c>
      <c r="I236" s="5">
        <f>VLOOKUP(ShoeSales[[#This Row],[Product]],Price!$A$2:C243,2,)</f>
        <v>32</v>
      </c>
      <c r="J236" s="5">
        <f>VLOOKUP(ShoeSales[[#This Row],[Product]],Price!$A$2:C243,3,)</f>
        <v>14</v>
      </c>
      <c r="K236" s="5">
        <f>ShoeSales[[#This Row],[Quantity]]*ShoeSales[[#This Row],[Unit_price]]</f>
        <v>480</v>
      </c>
      <c r="L236" s="5">
        <f>ShoeSales[[#This Row],[Quantity]]*ShoeSales[[#This Row],[Unit_cost]]</f>
        <v>210</v>
      </c>
      <c r="M236" s="5">
        <f>ShoeSales[[#This Row],[Revenue]]-ShoeSales[[#This Row],[Total_cost]]</f>
        <v>270</v>
      </c>
      <c r="N236" s="11">
        <f>ShoeSales[[#This Row],[Profit]]/ShoeSales[[#This Row],[Revenue]]</f>
        <v>0.5625</v>
      </c>
    </row>
    <row r="237" spans="1:14" ht="14.25" customHeight="1" x14ac:dyDescent="0.25">
      <c r="A237" s="8">
        <v>46194</v>
      </c>
      <c r="B237" s="14" t="s">
        <v>8</v>
      </c>
      <c r="C237" s="16" t="s">
        <v>27</v>
      </c>
      <c r="D237" s="16" t="s">
        <v>42</v>
      </c>
      <c r="E237" s="14" t="str">
        <f ca="1">PROPER(TRIM(CLEAN(ShoeSales[[#This Row],[Brand]])))</f>
        <v>Clarks</v>
      </c>
      <c r="F237" s="16" t="s">
        <v>40</v>
      </c>
      <c r="G237" s="4">
        <v>14</v>
      </c>
      <c r="H237" s="16" t="s">
        <v>32</v>
      </c>
      <c r="I237" s="5">
        <f>VLOOKUP(ShoeSales[[#This Row],[Product]],Price!$A$2:C244,2,)</f>
        <v>76</v>
      </c>
      <c r="J237" s="5">
        <f>VLOOKUP(ShoeSales[[#This Row],[Product]],Price!$A$2:C244,3,)</f>
        <v>39</v>
      </c>
      <c r="K237" s="5">
        <f>ShoeSales[[#This Row],[Quantity]]*ShoeSales[[#This Row],[Unit_price]]</f>
        <v>1064</v>
      </c>
      <c r="L237" s="5">
        <f>ShoeSales[[#This Row],[Quantity]]*ShoeSales[[#This Row],[Unit_cost]]</f>
        <v>546</v>
      </c>
      <c r="M237" s="5">
        <f>ShoeSales[[#This Row],[Revenue]]-ShoeSales[[#This Row],[Total_cost]]</f>
        <v>518</v>
      </c>
      <c r="N237" s="11">
        <f>ShoeSales[[#This Row],[Profit]]/ShoeSales[[#This Row],[Revenue]]</f>
        <v>0.48684210526315791</v>
      </c>
    </row>
    <row r="238" spans="1:14" ht="14.25" customHeight="1" x14ac:dyDescent="0.25">
      <c r="A238" s="7">
        <v>46140</v>
      </c>
      <c r="B238" s="14" t="s">
        <v>6</v>
      </c>
      <c r="C238" s="15" t="s">
        <v>52</v>
      </c>
      <c r="D238" s="15" t="s">
        <v>38</v>
      </c>
      <c r="E238" s="14" t="str">
        <f ca="1">PROPER(TRIM(CLEAN(ShoeSales[[#This Row],[Brand]])))</f>
        <v>Timberland</v>
      </c>
      <c r="F238" s="15" t="s">
        <v>29</v>
      </c>
      <c r="G238" s="3">
        <v>6</v>
      </c>
      <c r="H238" s="15" t="s">
        <v>45</v>
      </c>
      <c r="I238" s="5">
        <f>VLOOKUP(ShoeSales[[#This Row],[Product]],Price!$A$2:C245,2,)</f>
        <v>54</v>
      </c>
      <c r="J238" s="5">
        <f>VLOOKUP(ShoeSales[[#This Row],[Product]],Price!$A$2:C245,3,)</f>
        <v>28</v>
      </c>
      <c r="K238" s="5">
        <f>ShoeSales[[#This Row],[Quantity]]*ShoeSales[[#This Row],[Unit_price]]</f>
        <v>324</v>
      </c>
      <c r="L238" s="5">
        <f>ShoeSales[[#This Row],[Quantity]]*ShoeSales[[#This Row],[Unit_cost]]</f>
        <v>168</v>
      </c>
      <c r="M238" s="5">
        <f>ShoeSales[[#This Row],[Revenue]]-ShoeSales[[#This Row],[Total_cost]]</f>
        <v>156</v>
      </c>
      <c r="N238" s="11">
        <f>ShoeSales[[#This Row],[Profit]]/ShoeSales[[#This Row],[Revenue]]</f>
        <v>0.48148148148148145</v>
      </c>
    </row>
    <row r="239" spans="1:14" ht="14.25" customHeight="1" x14ac:dyDescent="0.25">
      <c r="A239" s="8">
        <v>46216</v>
      </c>
      <c r="B239" s="14" t="s">
        <v>7</v>
      </c>
      <c r="C239" s="16" t="s">
        <v>48</v>
      </c>
      <c r="D239" s="16" t="s">
        <v>42</v>
      </c>
      <c r="E239" s="14" t="str">
        <f ca="1">PROPER(TRIM(CLEAN(ShoeSales[[#This Row],[Brand]])))</f>
        <v>Zara</v>
      </c>
      <c r="F239" s="16" t="s">
        <v>50</v>
      </c>
      <c r="G239" s="4">
        <v>12</v>
      </c>
      <c r="H239" s="16" t="s">
        <v>41</v>
      </c>
      <c r="I239" s="5">
        <f>VLOOKUP(ShoeSales[[#This Row],[Product]],Price!$A$2:C246,2,)</f>
        <v>32</v>
      </c>
      <c r="J239" s="5">
        <f>VLOOKUP(ShoeSales[[#This Row],[Product]],Price!$A$2:C246,3,)</f>
        <v>14</v>
      </c>
      <c r="K239" s="5">
        <f>ShoeSales[[#This Row],[Quantity]]*ShoeSales[[#This Row],[Unit_price]]</f>
        <v>384</v>
      </c>
      <c r="L239" s="5">
        <f>ShoeSales[[#This Row],[Quantity]]*ShoeSales[[#This Row],[Unit_cost]]</f>
        <v>168</v>
      </c>
      <c r="M239" s="5">
        <f>ShoeSales[[#This Row],[Revenue]]-ShoeSales[[#This Row],[Total_cost]]</f>
        <v>216</v>
      </c>
      <c r="N239" s="11">
        <f>ShoeSales[[#This Row],[Profit]]/ShoeSales[[#This Row],[Revenue]]</f>
        <v>0.5625</v>
      </c>
    </row>
    <row r="240" spans="1:14" ht="14.25" customHeight="1" x14ac:dyDescent="0.25">
      <c r="A240" s="7">
        <v>46023</v>
      </c>
      <c r="B240" s="14" t="s">
        <v>15</v>
      </c>
      <c r="C240" s="15" t="s">
        <v>48</v>
      </c>
      <c r="D240" s="15" t="s">
        <v>31</v>
      </c>
      <c r="E240" s="14" t="str">
        <f ca="1">PROPER(TRIM(CLEAN(ShoeSales[[#This Row],[Brand]])))</f>
        <v>Clarks</v>
      </c>
      <c r="F240" s="15" t="s">
        <v>40</v>
      </c>
      <c r="G240" s="3">
        <v>9</v>
      </c>
      <c r="H240" s="15" t="s">
        <v>41</v>
      </c>
      <c r="I240" s="5">
        <f>VLOOKUP(ShoeSales[[#This Row],[Product]],Price!$A$2:C247,2,)</f>
        <v>119</v>
      </c>
      <c r="J240" s="5">
        <f>VLOOKUP(ShoeSales[[#This Row],[Product]],Price!$A$2:C247,3,)</f>
        <v>67</v>
      </c>
      <c r="K240" s="5">
        <f>ShoeSales[[#This Row],[Quantity]]*ShoeSales[[#This Row],[Unit_price]]</f>
        <v>1071</v>
      </c>
      <c r="L240" s="5">
        <f>ShoeSales[[#This Row],[Quantity]]*ShoeSales[[#This Row],[Unit_cost]]</f>
        <v>603</v>
      </c>
      <c r="M240" s="5">
        <f>ShoeSales[[#This Row],[Revenue]]-ShoeSales[[#This Row],[Total_cost]]</f>
        <v>468</v>
      </c>
      <c r="N240" s="11">
        <f>ShoeSales[[#This Row],[Profit]]/ShoeSales[[#This Row],[Revenue]]</f>
        <v>0.43697478991596639</v>
      </c>
    </row>
    <row r="241" spans="1:14" ht="14.25" customHeight="1" x14ac:dyDescent="0.25">
      <c r="A241" s="8">
        <v>46171</v>
      </c>
      <c r="B241" s="14" t="s">
        <v>8</v>
      </c>
      <c r="C241" s="16" t="s">
        <v>37</v>
      </c>
      <c r="D241" s="16" t="s">
        <v>28</v>
      </c>
      <c r="E241" s="14" t="str">
        <f ca="1">PROPER(TRIM(CLEAN(ShoeSales[[#This Row],[Brand]])))</f>
        <v>Zara</v>
      </c>
      <c r="F241" s="16" t="s">
        <v>46</v>
      </c>
      <c r="G241" s="4">
        <v>7</v>
      </c>
      <c r="H241" s="16" t="s">
        <v>32</v>
      </c>
      <c r="I241" s="5">
        <f>VLOOKUP(ShoeSales[[#This Row],[Product]],Price!$A$2:C248,2,)</f>
        <v>76</v>
      </c>
      <c r="J241" s="5">
        <f>VLOOKUP(ShoeSales[[#This Row],[Product]],Price!$A$2:C248,3,)</f>
        <v>39</v>
      </c>
      <c r="K241" s="5">
        <f>ShoeSales[[#This Row],[Quantity]]*ShoeSales[[#This Row],[Unit_price]]</f>
        <v>532</v>
      </c>
      <c r="L241" s="5">
        <f>ShoeSales[[#This Row],[Quantity]]*ShoeSales[[#This Row],[Unit_cost]]</f>
        <v>273</v>
      </c>
      <c r="M241" s="5">
        <f>ShoeSales[[#This Row],[Revenue]]-ShoeSales[[#This Row],[Total_cost]]</f>
        <v>259</v>
      </c>
      <c r="N241" s="11">
        <f>ShoeSales[[#This Row],[Profit]]/ShoeSales[[#This Row],[Revenue]]</f>
        <v>0.48684210526315791</v>
      </c>
    </row>
    <row r="242" spans="1:14" ht="14.25" customHeight="1" x14ac:dyDescent="0.25">
      <c r="A242" s="7">
        <v>46066</v>
      </c>
      <c r="B242" s="14" t="s">
        <v>12</v>
      </c>
      <c r="C242" s="15" t="s">
        <v>48</v>
      </c>
      <c r="D242" s="15" t="s">
        <v>38</v>
      </c>
      <c r="E242" s="14" t="str">
        <f ca="1">PROPER(TRIM(CLEAN(ShoeSales[[#This Row],[Brand]])))</f>
        <v>Zara</v>
      </c>
      <c r="F242" s="15" t="s">
        <v>49</v>
      </c>
      <c r="G242" s="3">
        <v>13</v>
      </c>
      <c r="H242" s="15" t="s">
        <v>41</v>
      </c>
      <c r="I242" s="5">
        <f>VLOOKUP(ShoeSales[[#This Row],[Product]],Price!$A$2:C249,2,)</f>
        <v>112</v>
      </c>
      <c r="J242" s="5">
        <f>VLOOKUP(ShoeSales[[#This Row],[Product]],Price!$A$2:C249,3,)</f>
        <v>64</v>
      </c>
      <c r="K242" s="5">
        <f>ShoeSales[[#This Row],[Quantity]]*ShoeSales[[#This Row],[Unit_price]]</f>
        <v>1456</v>
      </c>
      <c r="L242" s="5">
        <f>ShoeSales[[#This Row],[Quantity]]*ShoeSales[[#This Row],[Unit_cost]]</f>
        <v>832</v>
      </c>
      <c r="M242" s="5">
        <f>ShoeSales[[#This Row],[Revenue]]-ShoeSales[[#This Row],[Total_cost]]</f>
        <v>624</v>
      </c>
      <c r="N242" s="11">
        <f>ShoeSales[[#This Row],[Profit]]/ShoeSales[[#This Row],[Revenue]]</f>
        <v>0.42857142857142855</v>
      </c>
    </row>
    <row r="243" spans="1:14" ht="14.25" customHeight="1" x14ac:dyDescent="0.25">
      <c r="A243" s="8">
        <v>46147</v>
      </c>
      <c r="B243" s="14" t="s">
        <v>5</v>
      </c>
      <c r="C243" s="16" t="s">
        <v>37</v>
      </c>
      <c r="D243" s="16" t="s">
        <v>28</v>
      </c>
      <c r="E243" s="14" t="str">
        <f ca="1">PROPER(TRIM(CLEAN(ShoeSales[[#This Row],[Brand]])))</f>
        <v>Clarks</v>
      </c>
      <c r="F243" s="16" t="s">
        <v>40</v>
      </c>
      <c r="G243" s="4">
        <v>8</v>
      </c>
      <c r="H243" s="16" t="s">
        <v>30</v>
      </c>
      <c r="I243" s="5">
        <f>VLOOKUP(ShoeSales[[#This Row],[Product]],Price!$A$2:C250,2,)</f>
        <v>89</v>
      </c>
      <c r="J243" s="5">
        <f>VLOOKUP(ShoeSales[[#This Row],[Product]],Price!$A$2:C250,3,)</f>
        <v>47</v>
      </c>
      <c r="K243" s="5">
        <f>ShoeSales[[#This Row],[Quantity]]*ShoeSales[[#This Row],[Unit_price]]</f>
        <v>712</v>
      </c>
      <c r="L243" s="5">
        <f>ShoeSales[[#This Row],[Quantity]]*ShoeSales[[#This Row],[Unit_cost]]</f>
        <v>376</v>
      </c>
      <c r="M243" s="5">
        <f>ShoeSales[[#This Row],[Revenue]]-ShoeSales[[#This Row],[Total_cost]]</f>
        <v>336</v>
      </c>
      <c r="N243" s="11">
        <f>ShoeSales[[#This Row],[Profit]]/ShoeSales[[#This Row],[Revenue]]</f>
        <v>0.47191011235955055</v>
      </c>
    </row>
    <row r="244" spans="1:14" ht="14.25" customHeight="1" x14ac:dyDescent="0.25">
      <c r="A244" s="7">
        <v>46041</v>
      </c>
      <c r="B244" s="14" t="s">
        <v>6</v>
      </c>
      <c r="C244" s="15" t="s">
        <v>27</v>
      </c>
      <c r="D244" s="15" t="s">
        <v>31</v>
      </c>
      <c r="E244" s="14" t="str">
        <f ca="1">PROPER(TRIM(CLEAN(ShoeSales[[#This Row],[Brand]])))</f>
        <v>Nike</v>
      </c>
      <c r="F244" s="15" t="s">
        <v>36</v>
      </c>
      <c r="G244" s="3">
        <v>6</v>
      </c>
      <c r="H244" s="15" t="s">
        <v>41</v>
      </c>
      <c r="I244" s="5">
        <f>VLOOKUP(ShoeSales[[#This Row],[Product]],Price!$A$2:C251,2,)</f>
        <v>54</v>
      </c>
      <c r="J244" s="5">
        <f>VLOOKUP(ShoeSales[[#This Row],[Product]],Price!$A$2:C251,3,)</f>
        <v>28</v>
      </c>
      <c r="K244" s="5">
        <f>ShoeSales[[#This Row],[Quantity]]*ShoeSales[[#This Row],[Unit_price]]</f>
        <v>324</v>
      </c>
      <c r="L244" s="5">
        <f>ShoeSales[[#This Row],[Quantity]]*ShoeSales[[#This Row],[Unit_cost]]</f>
        <v>168</v>
      </c>
      <c r="M244" s="5">
        <f>ShoeSales[[#This Row],[Revenue]]-ShoeSales[[#This Row],[Total_cost]]</f>
        <v>156</v>
      </c>
      <c r="N244" s="11">
        <f>ShoeSales[[#This Row],[Profit]]/ShoeSales[[#This Row],[Revenue]]</f>
        <v>0.48148148148148145</v>
      </c>
    </row>
    <row r="245" spans="1:14" ht="14.25" customHeight="1" x14ac:dyDescent="0.25">
      <c r="A245" s="8">
        <v>46224</v>
      </c>
      <c r="B245" s="14" t="s">
        <v>10</v>
      </c>
      <c r="C245" s="16" t="s">
        <v>27</v>
      </c>
      <c r="D245" s="16" t="s">
        <v>33</v>
      </c>
      <c r="E245" s="14" t="str">
        <f ca="1">PROPER(TRIM(CLEAN(ShoeSales[[#This Row],[Brand]])))</f>
        <v>Nike</v>
      </c>
      <c r="F245" s="16" t="s">
        <v>40</v>
      </c>
      <c r="G245" s="4">
        <v>13</v>
      </c>
      <c r="H245" s="16" t="s">
        <v>30</v>
      </c>
      <c r="I245" s="5">
        <f>VLOOKUP(ShoeSales[[#This Row],[Product]],Price!$A$2:C252,2,)</f>
        <v>105</v>
      </c>
      <c r="J245" s="5">
        <f>VLOOKUP(ShoeSales[[#This Row],[Product]],Price!$A$2:C252,3,)</f>
        <v>58</v>
      </c>
      <c r="K245" s="5">
        <f>ShoeSales[[#This Row],[Quantity]]*ShoeSales[[#This Row],[Unit_price]]</f>
        <v>1365</v>
      </c>
      <c r="L245" s="5">
        <f>ShoeSales[[#This Row],[Quantity]]*ShoeSales[[#This Row],[Unit_cost]]</f>
        <v>754</v>
      </c>
      <c r="M245" s="5">
        <f>ShoeSales[[#This Row],[Revenue]]-ShoeSales[[#This Row],[Total_cost]]</f>
        <v>611</v>
      </c>
      <c r="N245" s="11">
        <f>ShoeSales[[#This Row],[Profit]]/ShoeSales[[#This Row],[Revenue]]</f>
        <v>0.44761904761904764</v>
      </c>
    </row>
    <row r="246" spans="1:14" ht="14.25" customHeight="1" x14ac:dyDescent="0.25">
      <c r="A246" s="7">
        <v>46203</v>
      </c>
      <c r="B246" s="14" t="s">
        <v>8</v>
      </c>
      <c r="C246" s="15" t="s">
        <v>27</v>
      </c>
      <c r="D246" s="15" t="s">
        <v>33</v>
      </c>
      <c r="E246" s="14" t="str">
        <f ca="1">PROPER(TRIM(CLEAN(ShoeSales[[#This Row],[Brand]])))</f>
        <v>Zara</v>
      </c>
      <c r="F246" s="15" t="s">
        <v>40</v>
      </c>
      <c r="G246" s="3">
        <v>7</v>
      </c>
      <c r="H246" s="15" t="s">
        <v>30</v>
      </c>
      <c r="I246" s="5">
        <f>VLOOKUP(ShoeSales[[#This Row],[Product]],Price!$A$2:C253,2,)</f>
        <v>76</v>
      </c>
      <c r="J246" s="5">
        <f>VLOOKUP(ShoeSales[[#This Row],[Product]],Price!$A$2:C253,3,)</f>
        <v>39</v>
      </c>
      <c r="K246" s="5">
        <f>ShoeSales[[#This Row],[Quantity]]*ShoeSales[[#This Row],[Unit_price]]</f>
        <v>532</v>
      </c>
      <c r="L246" s="5">
        <f>ShoeSales[[#This Row],[Quantity]]*ShoeSales[[#This Row],[Unit_cost]]</f>
        <v>273</v>
      </c>
      <c r="M246" s="5">
        <f>ShoeSales[[#This Row],[Revenue]]-ShoeSales[[#This Row],[Total_cost]]</f>
        <v>259</v>
      </c>
      <c r="N246" s="11">
        <f>ShoeSales[[#This Row],[Profit]]/ShoeSales[[#This Row],[Revenue]]</f>
        <v>0.48684210526315791</v>
      </c>
    </row>
    <row r="247" spans="1:14" ht="14.25" customHeight="1" x14ac:dyDescent="0.25">
      <c r="A247" s="8">
        <v>46244</v>
      </c>
      <c r="B247" s="14" t="s">
        <v>10</v>
      </c>
      <c r="C247" s="16" t="s">
        <v>52</v>
      </c>
      <c r="D247" s="16" t="s">
        <v>33</v>
      </c>
      <c r="E247" s="14" t="str">
        <f ca="1">PROPER(TRIM(CLEAN(ShoeSales[[#This Row],[Brand]])))</f>
        <v>Nike</v>
      </c>
      <c r="F247" s="16" t="s">
        <v>39</v>
      </c>
      <c r="G247" s="4">
        <v>9</v>
      </c>
      <c r="H247" s="16" t="s">
        <v>30</v>
      </c>
      <c r="I247" s="5">
        <f>VLOOKUP(ShoeSales[[#This Row],[Product]],Price!$A$2:C254,2,)</f>
        <v>105</v>
      </c>
      <c r="J247" s="5">
        <f>VLOOKUP(ShoeSales[[#This Row],[Product]],Price!$A$2:C254,3,)</f>
        <v>58</v>
      </c>
      <c r="K247" s="5">
        <f>ShoeSales[[#This Row],[Quantity]]*ShoeSales[[#This Row],[Unit_price]]</f>
        <v>945</v>
      </c>
      <c r="L247" s="5">
        <f>ShoeSales[[#This Row],[Quantity]]*ShoeSales[[#This Row],[Unit_cost]]</f>
        <v>522</v>
      </c>
      <c r="M247" s="5">
        <f>ShoeSales[[#This Row],[Revenue]]-ShoeSales[[#This Row],[Total_cost]]</f>
        <v>423</v>
      </c>
      <c r="N247" s="11">
        <f>ShoeSales[[#This Row],[Profit]]/ShoeSales[[#This Row],[Revenue]]</f>
        <v>0.44761904761904764</v>
      </c>
    </row>
    <row r="248" spans="1:14" ht="14.25" customHeight="1" x14ac:dyDescent="0.25">
      <c r="A248" s="7">
        <v>46122</v>
      </c>
      <c r="B248" s="14" t="s">
        <v>7</v>
      </c>
      <c r="C248" s="15" t="s">
        <v>37</v>
      </c>
      <c r="D248" s="15" t="s">
        <v>42</v>
      </c>
      <c r="E248" s="14" t="str">
        <f ca="1">PROPER(TRIM(CLEAN(ShoeSales[[#This Row],[Brand]])))</f>
        <v>Steve Madden</v>
      </c>
      <c r="F248" s="15" t="s">
        <v>35</v>
      </c>
      <c r="G248" s="3">
        <v>3</v>
      </c>
      <c r="H248" s="15" t="s">
        <v>30</v>
      </c>
      <c r="I248" s="5">
        <f>VLOOKUP(ShoeSales[[#This Row],[Product]],Price!$A$2:C255,2,)</f>
        <v>32</v>
      </c>
      <c r="J248" s="5">
        <f>VLOOKUP(ShoeSales[[#This Row],[Product]],Price!$A$2:C255,3,)</f>
        <v>14</v>
      </c>
      <c r="K248" s="5">
        <f>ShoeSales[[#This Row],[Quantity]]*ShoeSales[[#This Row],[Unit_price]]</f>
        <v>96</v>
      </c>
      <c r="L248" s="5">
        <f>ShoeSales[[#This Row],[Quantity]]*ShoeSales[[#This Row],[Unit_cost]]</f>
        <v>42</v>
      </c>
      <c r="M248" s="5">
        <f>ShoeSales[[#This Row],[Revenue]]-ShoeSales[[#This Row],[Total_cost]]</f>
        <v>54</v>
      </c>
      <c r="N248" s="11">
        <f>ShoeSales[[#This Row],[Profit]]/ShoeSales[[#This Row],[Revenue]]</f>
        <v>0.5625</v>
      </c>
    </row>
    <row r="249" spans="1:14" ht="14.25" customHeight="1" x14ac:dyDescent="0.25">
      <c r="A249" s="8">
        <v>46180</v>
      </c>
      <c r="B249" s="14" t="s">
        <v>5</v>
      </c>
      <c r="C249" s="16" t="s">
        <v>52</v>
      </c>
      <c r="D249" s="16" t="s">
        <v>33</v>
      </c>
      <c r="E249" s="14" t="str">
        <f ca="1">PROPER(TRIM(CLEAN(ShoeSales[[#This Row],[Brand]])))</f>
        <v>Timberland</v>
      </c>
      <c r="F249" s="16" t="s">
        <v>36</v>
      </c>
      <c r="G249" s="4">
        <v>11</v>
      </c>
      <c r="H249" s="16" t="s">
        <v>45</v>
      </c>
      <c r="I249" s="5">
        <f>VLOOKUP(ShoeSales[[#This Row],[Product]],Price!$A$2:C256,2,)</f>
        <v>89</v>
      </c>
      <c r="J249" s="5">
        <f>VLOOKUP(ShoeSales[[#This Row],[Product]],Price!$A$2:C256,3,)</f>
        <v>47</v>
      </c>
      <c r="K249" s="5">
        <f>ShoeSales[[#This Row],[Quantity]]*ShoeSales[[#This Row],[Unit_price]]</f>
        <v>979</v>
      </c>
      <c r="L249" s="5">
        <f>ShoeSales[[#This Row],[Quantity]]*ShoeSales[[#This Row],[Unit_cost]]</f>
        <v>517</v>
      </c>
      <c r="M249" s="5">
        <f>ShoeSales[[#This Row],[Revenue]]-ShoeSales[[#This Row],[Total_cost]]</f>
        <v>462</v>
      </c>
      <c r="N249" s="11">
        <f>ShoeSales[[#This Row],[Profit]]/ShoeSales[[#This Row],[Revenue]]</f>
        <v>0.47191011235955055</v>
      </c>
    </row>
    <row r="250" spans="1:14" ht="14.25" customHeight="1" x14ac:dyDescent="0.25">
      <c r="A250" s="7">
        <v>46200</v>
      </c>
      <c r="B250" s="14" t="s">
        <v>9</v>
      </c>
      <c r="C250" s="15" t="s">
        <v>48</v>
      </c>
      <c r="D250" s="15" t="s">
        <v>33</v>
      </c>
      <c r="E250" s="14" t="str">
        <f ca="1">PROPER(TRIM(CLEAN(ShoeSales[[#This Row],[Brand]])))</f>
        <v>Clarks</v>
      </c>
      <c r="F250" s="15" t="s">
        <v>46</v>
      </c>
      <c r="G250" s="3">
        <v>15</v>
      </c>
      <c r="H250" s="15" t="s">
        <v>41</v>
      </c>
      <c r="I250" s="5">
        <f>VLOOKUP(ShoeSales[[#This Row],[Product]],Price!$A$2:C257,2,)</f>
        <v>128</v>
      </c>
      <c r="J250" s="5">
        <f>VLOOKUP(ShoeSales[[#This Row],[Product]],Price!$A$2:C257,3,)</f>
        <v>72</v>
      </c>
      <c r="K250" s="5">
        <f>ShoeSales[[#This Row],[Quantity]]*ShoeSales[[#This Row],[Unit_price]]</f>
        <v>1920</v>
      </c>
      <c r="L250" s="5">
        <f>ShoeSales[[#This Row],[Quantity]]*ShoeSales[[#This Row],[Unit_cost]]</f>
        <v>1080</v>
      </c>
      <c r="M250" s="5">
        <f>ShoeSales[[#This Row],[Revenue]]-ShoeSales[[#This Row],[Total_cost]]</f>
        <v>840</v>
      </c>
      <c r="N250" s="11">
        <f>ShoeSales[[#This Row],[Profit]]/ShoeSales[[#This Row],[Revenue]]</f>
        <v>0.4375</v>
      </c>
    </row>
    <row r="251" spans="1:14" ht="14.25" customHeight="1" x14ac:dyDescent="0.25">
      <c r="A251" s="8">
        <v>46167</v>
      </c>
      <c r="B251" s="14" t="s">
        <v>5</v>
      </c>
      <c r="C251" s="16" t="s">
        <v>27</v>
      </c>
      <c r="D251" s="16" t="s">
        <v>33</v>
      </c>
      <c r="E251" s="14" t="str">
        <f ca="1">PROPER(TRIM(CLEAN(ShoeSales[[#This Row],[Brand]])))</f>
        <v>Zara</v>
      </c>
      <c r="F251" s="16" t="s">
        <v>36</v>
      </c>
      <c r="G251" s="4">
        <v>9</v>
      </c>
      <c r="H251" s="16" t="s">
        <v>32</v>
      </c>
      <c r="I251" s="5">
        <f>VLOOKUP(ShoeSales[[#This Row],[Product]],Price!$A$2:C258,2,)</f>
        <v>89</v>
      </c>
      <c r="J251" s="5">
        <f>VLOOKUP(ShoeSales[[#This Row],[Product]],Price!$A$2:C258,3,)</f>
        <v>47</v>
      </c>
      <c r="K251" s="5">
        <f>ShoeSales[[#This Row],[Quantity]]*ShoeSales[[#This Row],[Unit_price]]</f>
        <v>801</v>
      </c>
      <c r="L251" s="5">
        <f>ShoeSales[[#This Row],[Quantity]]*ShoeSales[[#This Row],[Unit_cost]]</f>
        <v>423</v>
      </c>
      <c r="M251" s="5">
        <f>ShoeSales[[#This Row],[Revenue]]-ShoeSales[[#This Row],[Total_cost]]</f>
        <v>378</v>
      </c>
      <c r="N251" s="11">
        <f>ShoeSales[[#This Row],[Profit]]/ShoeSales[[#This Row],[Revenue]]</f>
        <v>0.47191011235955055</v>
      </c>
    </row>
    <row r="252" spans="1:14" ht="14.25" customHeight="1" x14ac:dyDescent="0.25">
      <c r="A252" s="7">
        <v>46236</v>
      </c>
      <c r="B252" s="14" t="s">
        <v>5</v>
      </c>
      <c r="C252" s="15" t="s">
        <v>27</v>
      </c>
      <c r="D252" s="15" t="s">
        <v>28</v>
      </c>
      <c r="E252" s="14" t="str">
        <f ca="1">PROPER(TRIM(CLEAN(ShoeSales[[#This Row],[Brand]])))</f>
        <v>Steve Madden</v>
      </c>
      <c r="F252" s="15" t="s">
        <v>40</v>
      </c>
      <c r="G252" s="3">
        <v>1</v>
      </c>
      <c r="H252" s="15" t="s">
        <v>45</v>
      </c>
      <c r="I252" s="5">
        <f>VLOOKUP(ShoeSales[[#This Row],[Product]],Price!$A$2:C259,2,)</f>
        <v>89</v>
      </c>
      <c r="J252" s="5">
        <f>VLOOKUP(ShoeSales[[#This Row],[Product]],Price!$A$2:C259,3,)</f>
        <v>47</v>
      </c>
      <c r="K252" s="5">
        <f>ShoeSales[[#This Row],[Quantity]]*ShoeSales[[#This Row],[Unit_price]]</f>
        <v>89</v>
      </c>
      <c r="L252" s="5">
        <f>ShoeSales[[#This Row],[Quantity]]*ShoeSales[[#This Row],[Unit_cost]]</f>
        <v>47</v>
      </c>
      <c r="M252" s="5">
        <f>ShoeSales[[#This Row],[Revenue]]-ShoeSales[[#This Row],[Total_cost]]</f>
        <v>42</v>
      </c>
      <c r="N252" s="11">
        <f>ShoeSales[[#This Row],[Profit]]/ShoeSales[[#This Row],[Revenue]]</f>
        <v>0.47191011235955055</v>
      </c>
    </row>
    <row r="253" spans="1:14" ht="14.25" customHeight="1" x14ac:dyDescent="0.25">
      <c r="A253" s="8">
        <v>46152</v>
      </c>
      <c r="B253" s="14" t="s">
        <v>9</v>
      </c>
      <c r="C253" s="16" t="s">
        <v>27</v>
      </c>
      <c r="D253" s="16" t="s">
        <v>38</v>
      </c>
      <c r="E253" s="14" t="str">
        <f ca="1">PROPER(TRIM(CLEAN(ShoeSales[[#This Row],[Brand]])))</f>
        <v>Nike</v>
      </c>
      <c r="F253" s="16" t="s">
        <v>46</v>
      </c>
      <c r="G253" s="4">
        <v>1</v>
      </c>
      <c r="H253" s="16" t="s">
        <v>30</v>
      </c>
      <c r="I253" s="5">
        <f>VLOOKUP(ShoeSales[[#This Row],[Product]],Price!$A$2:C260,2,)</f>
        <v>128</v>
      </c>
      <c r="J253" s="5">
        <f>VLOOKUP(ShoeSales[[#This Row],[Product]],Price!$A$2:C260,3,)</f>
        <v>72</v>
      </c>
      <c r="K253" s="5">
        <f>ShoeSales[[#This Row],[Quantity]]*ShoeSales[[#This Row],[Unit_price]]</f>
        <v>128</v>
      </c>
      <c r="L253" s="5">
        <f>ShoeSales[[#This Row],[Quantity]]*ShoeSales[[#This Row],[Unit_cost]]</f>
        <v>72</v>
      </c>
      <c r="M253" s="5">
        <f>ShoeSales[[#This Row],[Revenue]]-ShoeSales[[#This Row],[Total_cost]]</f>
        <v>56</v>
      </c>
      <c r="N253" s="11">
        <f>ShoeSales[[#This Row],[Profit]]/ShoeSales[[#This Row],[Revenue]]</f>
        <v>0.4375</v>
      </c>
    </row>
    <row r="254" spans="1:14" ht="14.25" customHeight="1" x14ac:dyDescent="0.25">
      <c r="A254" s="7">
        <v>46071</v>
      </c>
      <c r="B254" s="14" t="s">
        <v>10</v>
      </c>
      <c r="C254" s="15" t="s">
        <v>37</v>
      </c>
      <c r="D254" s="15" t="s">
        <v>42</v>
      </c>
      <c r="E254" s="14" t="str">
        <f ca="1">PROPER(TRIM(CLEAN(ShoeSales[[#This Row],[Brand]])))</f>
        <v>Steve Madden</v>
      </c>
      <c r="F254" s="15" t="s">
        <v>49</v>
      </c>
      <c r="G254" s="3">
        <v>7</v>
      </c>
      <c r="H254" s="15" t="s">
        <v>41</v>
      </c>
      <c r="I254" s="5">
        <f>VLOOKUP(ShoeSales[[#This Row],[Product]],Price!$A$2:C261,2,)</f>
        <v>105</v>
      </c>
      <c r="J254" s="5">
        <f>VLOOKUP(ShoeSales[[#This Row],[Product]],Price!$A$2:C261,3,)</f>
        <v>58</v>
      </c>
      <c r="K254" s="5">
        <f>ShoeSales[[#This Row],[Quantity]]*ShoeSales[[#This Row],[Unit_price]]</f>
        <v>735</v>
      </c>
      <c r="L254" s="5">
        <f>ShoeSales[[#This Row],[Quantity]]*ShoeSales[[#This Row],[Unit_cost]]</f>
        <v>406</v>
      </c>
      <c r="M254" s="5">
        <f>ShoeSales[[#This Row],[Revenue]]-ShoeSales[[#This Row],[Total_cost]]</f>
        <v>329</v>
      </c>
      <c r="N254" s="11">
        <f>ShoeSales[[#This Row],[Profit]]/ShoeSales[[#This Row],[Revenue]]</f>
        <v>0.44761904761904764</v>
      </c>
    </row>
    <row r="255" spans="1:14" ht="14.25" customHeight="1" x14ac:dyDescent="0.25">
      <c r="A255" s="8">
        <v>46126</v>
      </c>
      <c r="B255" s="14" t="s">
        <v>5</v>
      </c>
      <c r="C255" s="16" t="s">
        <v>27</v>
      </c>
      <c r="D255" s="16" t="s">
        <v>38</v>
      </c>
      <c r="E255" s="14" t="str">
        <f ca="1">PROPER(TRIM(CLEAN(ShoeSales[[#This Row],[Brand]])))</f>
        <v>Clarks</v>
      </c>
      <c r="F255" s="16" t="s">
        <v>29</v>
      </c>
      <c r="G255" s="4">
        <v>13</v>
      </c>
      <c r="H255" s="16" t="s">
        <v>32</v>
      </c>
      <c r="I255" s="5">
        <f>VLOOKUP(ShoeSales[[#This Row],[Product]],Price!$A$2:C262,2,)</f>
        <v>89</v>
      </c>
      <c r="J255" s="5">
        <f>VLOOKUP(ShoeSales[[#This Row],[Product]],Price!$A$2:C262,3,)</f>
        <v>47</v>
      </c>
      <c r="K255" s="5">
        <f>ShoeSales[[#This Row],[Quantity]]*ShoeSales[[#This Row],[Unit_price]]</f>
        <v>1157</v>
      </c>
      <c r="L255" s="5">
        <f>ShoeSales[[#This Row],[Quantity]]*ShoeSales[[#This Row],[Unit_cost]]</f>
        <v>611</v>
      </c>
      <c r="M255" s="5">
        <f>ShoeSales[[#This Row],[Revenue]]-ShoeSales[[#This Row],[Total_cost]]</f>
        <v>546</v>
      </c>
      <c r="N255" s="11">
        <f>ShoeSales[[#This Row],[Profit]]/ShoeSales[[#This Row],[Revenue]]</f>
        <v>0.47191011235955055</v>
      </c>
    </row>
    <row r="256" spans="1:14" ht="14.25" customHeight="1" x14ac:dyDescent="0.25">
      <c r="A256" s="7">
        <v>46069</v>
      </c>
      <c r="B256" s="14" t="s">
        <v>10</v>
      </c>
      <c r="C256" s="15" t="s">
        <v>27</v>
      </c>
      <c r="D256" s="15" t="s">
        <v>38</v>
      </c>
      <c r="E256" s="14" t="str">
        <f ca="1">PROPER(TRIM(CLEAN(ShoeSales[[#This Row],[Brand]])))</f>
        <v>Clarks</v>
      </c>
      <c r="F256" s="15" t="s">
        <v>39</v>
      </c>
      <c r="G256" s="3">
        <v>15</v>
      </c>
      <c r="H256" s="15" t="s">
        <v>32</v>
      </c>
      <c r="I256" s="5">
        <f>VLOOKUP(ShoeSales[[#This Row],[Product]],Price!$A$2:C263,2,)</f>
        <v>105</v>
      </c>
      <c r="J256" s="5">
        <f>VLOOKUP(ShoeSales[[#This Row],[Product]],Price!$A$2:C263,3,)</f>
        <v>58</v>
      </c>
      <c r="K256" s="5">
        <f>ShoeSales[[#This Row],[Quantity]]*ShoeSales[[#This Row],[Unit_price]]</f>
        <v>1575</v>
      </c>
      <c r="L256" s="5">
        <f>ShoeSales[[#This Row],[Quantity]]*ShoeSales[[#This Row],[Unit_cost]]</f>
        <v>870</v>
      </c>
      <c r="M256" s="5">
        <f>ShoeSales[[#This Row],[Revenue]]-ShoeSales[[#This Row],[Total_cost]]</f>
        <v>705</v>
      </c>
      <c r="N256" s="11">
        <f>ShoeSales[[#This Row],[Profit]]/ShoeSales[[#This Row],[Revenue]]</f>
        <v>0.44761904761904764</v>
      </c>
    </row>
    <row r="257" spans="1:14" ht="14.25" customHeight="1" x14ac:dyDescent="0.25">
      <c r="A257" s="8">
        <v>46091</v>
      </c>
      <c r="B257" s="14" t="s">
        <v>10</v>
      </c>
      <c r="C257" s="16" t="s">
        <v>27</v>
      </c>
      <c r="D257" s="16" t="s">
        <v>42</v>
      </c>
      <c r="E257" s="14" t="str">
        <f ca="1">PROPER(TRIM(CLEAN(ShoeSales[[#This Row],[Brand]])))</f>
        <v>Zara</v>
      </c>
      <c r="F257" s="16" t="s">
        <v>35</v>
      </c>
      <c r="G257" s="4">
        <v>9</v>
      </c>
      <c r="H257" s="16" t="s">
        <v>45</v>
      </c>
      <c r="I257" s="5">
        <f>VLOOKUP(ShoeSales[[#This Row],[Product]],Price!$A$2:C264,2,)</f>
        <v>105</v>
      </c>
      <c r="J257" s="5">
        <f>VLOOKUP(ShoeSales[[#This Row],[Product]],Price!$A$2:C264,3,)</f>
        <v>58</v>
      </c>
      <c r="K257" s="5">
        <f>ShoeSales[[#This Row],[Quantity]]*ShoeSales[[#This Row],[Unit_price]]</f>
        <v>945</v>
      </c>
      <c r="L257" s="5">
        <f>ShoeSales[[#This Row],[Quantity]]*ShoeSales[[#This Row],[Unit_cost]]</f>
        <v>522</v>
      </c>
      <c r="M257" s="5">
        <f>ShoeSales[[#This Row],[Revenue]]-ShoeSales[[#This Row],[Total_cost]]</f>
        <v>423</v>
      </c>
      <c r="N257" s="11">
        <f>ShoeSales[[#This Row],[Profit]]/ShoeSales[[#This Row],[Revenue]]</f>
        <v>0.44761904761904764</v>
      </c>
    </row>
    <row r="258" spans="1:14" ht="14.25" customHeight="1" x14ac:dyDescent="0.25">
      <c r="A258" s="7">
        <v>46060</v>
      </c>
      <c r="B258" s="14" t="s">
        <v>5</v>
      </c>
      <c r="C258" s="15" t="s">
        <v>37</v>
      </c>
      <c r="D258" s="15" t="s">
        <v>38</v>
      </c>
      <c r="E258" s="14" t="str">
        <f ca="1">PROPER(TRIM(CLEAN(ShoeSales[[#This Row],[Brand]])))</f>
        <v>Clarks</v>
      </c>
      <c r="F258" s="15" t="s">
        <v>43</v>
      </c>
      <c r="G258" s="3">
        <v>15</v>
      </c>
      <c r="H258" s="15" t="s">
        <v>41</v>
      </c>
      <c r="I258" s="5">
        <f>VLOOKUP(ShoeSales[[#This Row],[Product]],Price!$A$2:C265,2,)</f>
        <v>89</v>
      </c>
      <c r="J258" s="5">
        <f>VLOOKUP(ShoeSales[[#This Row],[Product]],Price!$A$2:C265,3,)</f>
        <v>47</v>
      </c>
      <c r="K258" s="5">
        <f>ShoeSales[[#This Row],[Quantity]]*ShoeSales[[#This Row],[Unit_price]]</f>
        <v>1335</v>
      </c>
      <c r="L258" s="5">
        <f>ShoeSales[[#This Row],[Quantity]]*ShoeSales[[#This Row],[Unit_cost]]</f>
        <v>705</v>
      </c>
      <c r="M258" s="5">
        <f>ShoeSales[[#This Row],[Revenue]]-ShoeSales[[#This Row],[Total_cost]]</f>
        <v>630</v>
      </c>
      <c r="N258" s="11">
        <f>ShoeSales[[#This Row],[Profit]]/ShoeSales[[#This Row],[Revenue]]</f>
        <v>0.47191011235955055</v>
      </c>
    </row>
    <row r="259" spans="1:14" ht="14.25" customHeight="1" x14ac:dyDescent="0.25">
      <c r="A259" s="8">
        <v>46053</v>
      </c>
      <c r="B259" s="14" t="s">
        <v>7</v>
      </c>
      <c r="C259" s="16" t="s">
        <v>27</v>
      </c>
      <c r="D259" s="16" t="s">
        <v>33</v>
      </c>
      <c r="E259" s="14" t="str">
        <f ca="1">PROPER(TRIM(CLEAN(ShoeSales[[#This Row],[Brand]])))</f>
        <v>Zara</v>
      </c>
      <c r="F259" s="16" t="s">
        <v>51</v>
      </c>
      <c r="G259" s="4">
        <v>15</v>
      </c>
      <c r="H259" s="16" t="s">
        <v>30</v>
      </c>
      <c r="I259" s="5">
        <f>VLOOKUP(ShoeSales[[#This Row],[Product]],Price!$A$2:C266,2,)</f>
        <v>32</v>
      </c>
      <c r="J259" s="5">
        <f>VLOOKUP(ShoeSales[[#This Row],[Product]],Price!$A$2:C266,3,)</f>
        <v>14</v>
      </c>
      <c r="K259" s="5">
        <f>ShoeSales[[#This Row],[Quantity]]*ShoeSales[[#This Row],[Unit_price]]</f>
        <v>480</v>
      </c>
      <c r="L259" s="5">
        <f>ShoeSales[[#This Row],[Quantity]]*ShoeSales[[#This Row],[Unit_cost]]</f>
        <v>210</v>
      </c>
      <c r="M259" s="5">
        <f>ShoeSales[[#This Row],[Revenue]]-ShoeSales[[#This Row],[Total_cost]]</f>
        <v>270</v>
      </c>
      <c r="N259" s="11">
        <f>ShoeSales[[#This Row],[Profit]]/ShoeSales[[#This Row],[Revenue]]</f>
        <v>0.5625</v>
      </c>
    </row>
    <row r="260" spans="1:14" ht="14.25" customHeight="1" x14ac:dyDescent="0.25">
      <c r="A260" s="7">
        <v>46098</v>
      </c>
      <c r="B260" s="14" t="s">
        <v>15</v>
      </c>
      <c r="C260" s="15" t="s">
        <v>27</v>
      </c>
      <c r="D260" s="15" t="s">
        <v>38</v>
      </c>
      <c r="E260" s="14" t="str">
        <f ca="1">PROPER(TRIM(CLEAN(ShoeSales[[#This Row],[Brand]])))</f>
        <v>Zara</v>
      </c>
      <c r="F260" s="15" t="s">
        <v>46</v>
      </c>
      <c r="G260" s="3">
        <v>13</v>
      </c>
      <c r="H260" s="15" t="s">
        <v>45</v>
      </c>
      <c r="I260" s="5">
        <f>VLOOKUP(ShoeSales[[#This Row],[Product]],Price!$A$2:C267,2,)</f>
        <v>119</v>
      </c>
      <c r="J260" s="5">
        <f>VLOOKUP(ShoeSales[[#This Row],[Product]],Price!$A$2:C267,3,)</f>
        <v>67</v>
      </c>
      <c r="K260" s="5">
        <f>ShoeSales[[#This Row],[Quantity]]*ShoeSales[[#This Row],[Unit_price]]</f>
        <v>1547</v>
      </c>
      <c r="L260" s="5">
        <f>ShoeSales[[#This Row],[Quantity]]*ShoeSales[[#This Row],[Unit_cost]]</f>
        <v>871</v>
      </c>
      <c r="M260" s="5">
        <f>ShoeSales[[#This Row],[Revenue]]-ShoeSales[[#This Row],[Total_cost]]</f>
        <v>676</v>
      </c>
      <c r="N260" s="11">
        <f>ShoeSales[[#This Row],[Profit]]/ShoeSales[[#This Row],[Revenue]]</f>
        <v>0.43697478991596639</v>
      </c>
    </row>
    <row r="261" spans="1:14" ht="14.25" customHeight="1" x14ac:dyDescent="0.25">
      <c r="A261" s="8">
        <v>46077</v>
      </c>
      <c r="B261" s="14" t="s">
        <v>7</v>
      </c>
      <c r="C261" s="16" t="s">
        <v>52</v>
      </c>
      <c r="D261" s="16" t="s">
        <v>28</v>
      </c>
      <c r="E261" s="14" t="str">
        <f ca="1">PROPER(TRIM(CLEAN(ShoeSales[[#This Row],[Brand]])))</f>
        <v>Clarks</v>
      </c>
      <c r="F261" s="16" t="s">
        <v>34</v>
      </c>
      <c r="G261" s="4">
        <v>6</v>
      </c>
      <c r="H261" s="16" t="s">
        <v>30</v>
      </c>
      <c r="I261" s="5">
        <f>VLOOKUP(ShoeSales[[#This Row],[Product]],Price!$A$2:C268,2,)</f>
        <v>32</v>
      </c>
      <c r="J261" s="5">
        <f>VLOOKUP(ShoeSales[[#This Row],[Product]],Price!$A$2:C268,3,)</f>
        <v>14</v>
      </c>
      <c r="K261" s="5">
        <f>ShoeSales[[#This Row],[Quantity]]*ShoeSales[[#This Row],[Unit_price]]</f>
        <v>192</v>
      </c>
      <c r="L261" s="5">
        <f>ShoeSales[[#This Row],[Quantity]]*ShoeSales[[#This Row],[Unit_cost]]</f>
        <v>84</v>
      </c>
      <c r="M261" s="5">
        <f>ShoeSales[[#This Row],[Revenue]]-ShoeSales[[#This Row],[Total_cost]]</f>
        <v>108</v>
      </c>
      <c r="N261" s="11">
        <f>ShoeSales[[#This Row],[Profit]]/ShoeSales[[#This Row],[Revenue]]</f>
        <v>0.5625</v>
      </c>
    </row>
    <row r="262" spans="1:14" ht="14.25" customHeight="1" x14ac:dyDescent="0.25">
      <c r="A262" s="7">
        <v>46041</v>
      </c>
      <c r="B262" s="14" t="s">
        <v>5</v>
      </c>
      <c r="C262" s="15" t="s">
        <v>52</v>
      </c>
      <c r="D262" s="15" t="s">
        <v>42</v>
      </c>
      <c r="E262" s="14" t="str">
        <f ca="1">PROPER(TRIM(CLEAN(ShoeSales[[#This Row],[Brand]])))</f>
        <v>Timberland</v>
      </c>
      <c r="F262" s="15" t="s">
        <v>40</v>
      </c>
      <c r="G262" s="3">
        <v>6</v>
      </c>
      <c r="H262" s="15" t="s">
        <v>45</v>
      </c>
      <c r="I262" s="5">
        <f>VLOOKUP(ShoeSales[[#This Row],[Product]],Price!$A$2:C269,2,)</f>
        <v>89</v>
      </c>
      <c r="J262" s="5">
        <f>VLOOKUP(ShoeSales[[#This Row],[Product]],Price!$A$2:C269,3,)</f>
        <v>47</v>
      </c>
      <c r="K262" s="5">
        <f>ShoeSales[[#This Row],[Quantity]]*ShoeSales[[#This Row],[Unit_price]]</f>
        <v>534</v>
      </c>
      <c r="L262" s="5">
        <f>ShoeSales[[#This Row],[Quantity]]*ShoeSales[[#This Row],[Unit_cost]]</f>
        <v>282</v>
      </c>
      <c r="M262" s="5">
        <f>ShoeSales[[#This Row],[Revenue]]-ShoeSales[[#This Row],[Total_cost]]</f>
        <v>252</v>
      </c>
      <c r="N262" s="11">
        <f>ShoeSales[[#This Row],[Profit]]/ShoeSales[[#This Row],[Revenue]]</f>
        <v>0.47191011235955055</v>
      </c>
    </row>
    <row r="263" spans="1:14" ht="14.25" customHeight="1" x14ac:dyDescent="0.25">
      <c r="A263" s="8">
        <v>46189</v>
      </c>
      <c r="B263" s="14" t="s">
        <v>8</v>
      </c>
      <c r="C263" s="16" t="s">
        <v>27</v>
      </c>
      <c r="D263" s="16" t="s">
        <v>28</v>
      </c>
      <c r="E263" s="14" t="str">
        <f ca="1">PROPER(TRIM(CLEAN(ShoeSales[[#This Row],[Brand]])))</f>
        <v>Clarks</v>
      </c>
      <c r="F263" s="16" t="s">
        <v>44</v>
      </c>
      <c r="G263" s="4">
        <v>10</v>
      </c>
      <c r="H263" s="16" t="s">
        <v>32</v>
      </c>
      <c r="I263" s="5">
        <f>VLOOKUP(ShoeSales[[#This Row],[Product]],Price!$A$2:C270,2,)</f>
        <v>76</v>
      </c>
      <c r="J263" s="5">
        <f>VLOOKUP(ShoeSales[[#This Row],[Product]],Price!$A$2:C270,3,)</f>
        <v>39</v>
      </c>
      <c r="K263" s="5">
        <f>ShoeSales[[#This Row],[Quantity]]*ShoeSales[[#This Row],[Unit_price]]</f>
        <v>760</v>
      </c>
      <c r="L263" s="5">
        <f>ShoeSales[[#This Row],[Quantity]]*ShoeSales[[#This Row],[Unit_cost]]</f>
        <v>390</v>
      </c>
      <c r="M263" s="5">
        <f>ShoeSales[[#This Row],[Revenue]]-ShoeSales[[#This Row],[Total_cost]]</f>
        <v>370</v>
      </c>
      <c r="N263" s="11">
        <f>ShoeSales[[#This Row],[Profit]]/ShoeSales[[#This Row],[Revenue]]</f>
        <v>0.48684210526315791</v>
      </c>
    </row>
    <row r="264" spans="1:14" ht="14.25" customHeight="1" x14ac:dyDescent="0.25">
      <c r="A264" s="7">
        <v>46190</v>
      </c>
      <c r="B264" s="14" t="s">
        <v>7</v>
      </c>
      <c r="C264" s="15" t="s">
        <v>52</v>
      </c>
      <c r="D264" s="15" t="s">
        <v>33</v>
      </c>
      <c r="E264" s="14" t="str">
        <f ca="1">PROPER(TRIM(CLEAN(ShoeSales[[#This Row],[Brand]])))</f>
        <v>Clarks</v>
      </c>
      <c r="F264" s="15" t="s">
        <v>47</v>
      </c>
      <c r="G264" s="3">
        <v>4</v>
      </c>
      <c r="H264" s="15" t="s">
        <v>45</v>
      </c>
      <c r="I264" s="5">
        <f>VLOOKUP(ShoeSales[[#This Row],[Product]],Price!$A$2:C271,2,)</f>
        <v>32</v>
      </c>
      <c r="J264" s="5">
        <f>VLOOKUP(ShoeSales[[#This Row],[Product]],Price!$A$2:C271,3,)</f>
        <v>14</v>
      </c>
      <c r="K264" s="5">
        <f>ShoeSales[[#This Row],[Quantity]]*ShoeSales[[#This Row],[Unit_price]]</f>
        <v>128</v>
      </c>
      <c r="L264" s="5">
        <f>ShoeSales[[#This Row],[Quantity]]*ShoeSales[[#This Row],[Unit_cost]]</f>
        <v>56</v>
      </c>
      <c r="M264" s="5">
        <f>ShoeSales[[#This Row],[Revenue]]-ShoeSales[[#This Row],[Total_cost]]</f>
        <v>72</v>
      </c>
      <c r="N264" s="11">
        <f>ShoeSales[[#This Row],[Profit]]/ShoeSales[[#This Row],[Revenue]]</f>
        <v>0.5625</v>
      </c>
    </row>
    <row r="265" spans="1:14" ht="14.25" customHeight="1" x14ac:dyDescent="0.25">
      <c r="A265" s="8">
        <v>46227</v>
      </c>
      <c r="B265" s="14" t="s">
        <v>7</v>
      </c>
      <c r="C265" s="16" t="s">
        <v>52</v>
      </c>
      <c r="D265" s="16" t="s">
        <v>42</v>
      </c>
      <c r="E265" s="14" t="str">
        <f ca="1">PROPER(TRIM(CLEAN(ShoeSales[[#This Row],[Brand]])))</f>
        <v>Nike</v>
      </c>
      <c r="F265" s="16" t="s">
        <v>51</v>
      </c>
      <c r="G265" s="4">
        <v>7</v>
      </c>
      <c r="H265" s="16" t="s">
        <v>45</v>
      </c>
      <c r="I265" s="5">
        <f>VLOOKUP(ShoeSales[[#This Row],[Product]],Price!$A$2:C272,2,)</f>
        <v>32</v>
      </c>
      <c r="J265" s="5">
        <f>VLOOKUP(ShoeSales[[#This Row],[Product]],Price!$A$2:C272,3,)</f>
        <v>14</v>
      </c>
      <c r="K265" s="5">
        <f>ShoeSales[[#This Row],[Quantity]]*ShoeSales[[#This Row],[Unit_price]]</f>
        <v>224</v>
      </c>
      <c r="L265" s="5">
        <f>ShoeSales[[#This Row],[Quantity]]*ShoeSales[[#This Row],[Unit_cost]]</f>
        <v>98</v>
      </c>
      <c r="M265" s="5">
        <f>ShoeSales[[#This Row],[Revenue]]-ShoeSales[[#This Row],[Total_cost]]</f>
        <v>126</v>
      </c>
      <c r="N265" s="11">
        <f>ShoeSales[[#This Row],[Profit]]/ShoeSales[[#This Row],[Revenue]]</f>
        <v>0.5625</v>
      </c>
    </row>
    <row r="266" spans="1:14" ht="14.25" customHeight="1" x14ac:dyDescent="0.25">
      <c r="A266" s="7">
        <v>46169</v>
      </c>
      <c r="B266" s="14" t="s">
        <v>10</v>
      </c>
      <c r="C266" s="15" t="s">
        <v>52</v>
      </c>
      <c r="D266" s="15" t="s">
        <v>38</v>
      </c>
      <c r="E266" s="14" t="str">
        <f ca="1">PROPER(TRIM(CLEAN(ShoeSales[[#This Row],[Brand]])))</f>
        <v>Clarks</v>
      </c>
      <c r="F266" s="15" t="s">
        <v>40</v>
      </c>
      <c r="G266" s="3">
        <v>10</v>
      </c>
      <c r="H266" s="15" t="s">
        <v>32</v>
      </c>
      <c r="I266" s="5">
        <f>VLOOKUP(ShoeSales[[#This Row],[Product]],Price!$A$2:C273,2,)</f>
        <v>105</v>
      </c>
      <c r="J266" s="5">
        <f>VLOOKUP(ShoeSales[[#This Row],[Product]],Price!$A$2:C273,3,)</f>
        <v>58</v>
      </c>
      <c r="K266" s="5">
        <f>ShoeSales[[#This Row],[Quantity]]*ShoeSales[[#This Row],[Unit_price]]</f>
        <v>1050</v>
      </c>
      <c r="L266" s="5">
        <f>ShoeSales[[#This Row],[Quantity]]*ShoeSales[[#This Row],[Unit_cost]]</f>
        <v>580</v>
      </c>
      <c r="M266" s="5">
        <f>ShoeSales[[#This Row],[Revenue]]-ShoeSales[[#This Row],[Total_cost]]</f>
        <v>470</v>
      </c>
      <c r="N266" s="11">
        <f>ShoeSales[[#This Row],[Profit]]/ShoeSales[[#This Row],[Revenue]]</f>
        <v>0.44761904761904764</v>
      </c>
    </row>
    <row r="267" spans="1:14" ht="14.25" customHeight="1" x14ac:dyDescent="0.25">
      <c r="A267" s="8">
        <v>46066</v>
      </c>
      <c r="B267" s="14" t="s">
        <v>7</v>
      </c>
      <c r="C267" s="16" t="s">
        <v>27</v>
      </c>
      <c r="D267" s="16" t="s">
        <v>28</v>
      </c>
      <c r="E267" s="14" t="str">
        <f ca="1">PROPER(TRIM(CLEAN(ShoeSales[[#This Row],[Brand]])))</f>
        <v>Timberland</v>
      </c>
      <c r="F267" s="16" t="s">
        <v>36</v>
      </c>
      <c r="G267" s="4">
        <v>10</v>
      </c>
      <c r="H267" s="16" t="s">
        <v>32</v>
      </c>
      <c r="I267" s="5">
        <f>VLOOKUP(ShoeSales[[#This Row],[Product]],Price!$A$2:C274,2,)</f>
        <v>32</v>
      </c>
      <c r="J267" s="5">
        <f>VLOOKUP(ShoeSales[[#This Row],[Product]],Price!$A$2:C274,3,)</f>
        <v>14</v>
      </c>
      <c r="K267" s="5">
        <f>ShoeSales[[#This Row],[Quantity]]*ShoeSales[[#This Row],[Unit_price]]</f>
        <v>320</v>
      </c>
      <c r="L267" s="5">
        <f>ShoeSales[[#This Row],[Quantity]]*ShoeSales[[#This Row],[Unit_cost]]</f>
        <v>140</v>
      </c>
      <c r="M267" s="5">
        <f>ShoeSales[[#This Row],[Revenue]]-ShoeSales[[#This Row],[Total_cost]]</f>
        <v>180</v>
      </c>
      <c r="N267" s="11">
        <f>ShoeSales[[#This Row],[Profit]]/ShoeSales[[#This Row],[Revenue]]</f>
        <v>0.5625</v>
      </c>
    </row>
    <row r="268" spans="1:14" ht="14.25" customHeight="1" x14ac:dyDescent="0.25">
      <c r="A268" s="7">
        <v>46053</v>
      </c>
      <c r="B268" s="14" t="s">
        <v>6</v>
      </c>
      <c r="C268" s="15" t="s">
        <v>27</v>
      </c>
      <c r="D268" s="15" t="s">
        <v>42</v>
      </c>
      <c r="E268" s="14" t="str">
        <f ca="1">PROPER(TRIM(CLEAN(ShoeSales[[#This Row],[Brand]])))</f>
        <v>Clarks</v>
      </c>
      <c r="F268" s="15" t="s">
        <v>34</v>
      </c>
      <c r="G268" s="3">
        <v>15</v>
      </c>
      <c r="H268" s="15" t="s">
        <v>45</v>
      </c>
      <c r="I268" s="5">
        <f>VLOOKUP(ShoeSales[[#This Row],[Product]],Price!$A$2:C275,2,)</f>
        <v>54</v>
      </c>
      <c r="J268" s="5">
        <f>VLOOKUP(ShoeSales[[#This Row],[Product]],Price!$A$2:C275,3,)</f>
        <v>28</v>
      </c>
      <c r="K268" s="5">
        <f>ShoeSales[[#This Row],[Quantity]]*ShoeSales[[#This Row],[Unit_price]]</f>
        <v>810</v>
      </c>
      <c r="L268" s="5">
        <f>ShoeSales[[#This Row],[Quantity]]*ShoeSales[[#This Row],[Unit_cost]]</f>
        <v>420</v>
      </c>
      <c r="M268" s="5">
        <f>ShoeSales[[#This Row],[Revenue]]-ShoeSales[[#This Row],[Total_cost]]</f>
        <v>390</v>
      </c>
      <c r="N268" s="11">
        <f>ShoeSales[[#This Row],[Profit]]/ShoeSales[[#This Row],[Revenue]]</f>
        <v>0.48148148148148145</v>
      </c>
    </row>
    <row r="269" spans="1:14" ht="14.25" customHeight="1" x14ac:dyDescent="0.25">
      <c r="A269" s="8">
        <v>46131</v>
      </c>
      <c r="B269" s="14" t="s">
        <v>6</v>
      </c>
      <c r="C269" s="16" t="s">
        <v>52</v>
      </c>
      <c r="D269" s="16" t="s">
        <v>33</v>
      </c>
      <c r="E269" s="14" t="str">
        <f ca="1">PROPER(TRIM(CLEAN(ShoeSales[[#This Row],[Brand]])))</f>
        <v>Zara</v>
      </c>
      <c r="F269" s="16" t="s">
        <v>35</v>
      </c>
      <c r="G269" s="4">
        <v>1</v>
      </c>
      <c r="H269" s="16" t="s">
        <v>32</v>
      </c>
      <c r="I269" s="5">
        <f>VLOOKUP(ShoeSales[[#This Row],[Product]],Price!$A$2:C276,2,)</f>
        <v>54</v>
      </c>
      <c r="J269" s="5">
        <f>VLOOKUP(ShoeSales[[#This Row],[Product]],Price!$A$2:C276,3,)</f>
        <v>28</v>
      </c>
      <c r="K269" s="5">
        <f>ShoeSales[[#This Row],[Quantity]]*ShoeSales[[#This Row],[Unit_price]]</f>
        <v>54</v>
      </c>
      <c r="L269" s="5">
        <f>ShoeSales[[#This Row],[Quantity]]*ShoeSales[[#This Row],[Unit_cost]]</f>
        <v>28</v>
      </c>
      <c r="M269" s="5">
        <f>ShoeSales[[#This Row],[Revenue]]-ShoeSales[[#This Row],[Total_cost]]</f>
        <v>26</v>
      </c>
      <c r="N269" s="11">
        <f>ShoeSales[[#This Row],[Profit]]/ShoeSales[[#This Row],[Revenue]]</f>
        <v>0.48148148148148145</v>
      </c>
    </row>
    <row r="270" spans="1:14" ht="14.25" customHeight="1" x14ac:dyDescent="0.25">
      <c r="A270" s="7">
        <v>46105</v>
      </c>
      <c r="B270" s="14" t="s">
        <v>9</v>
      </c>
      <c r="C270" s="15" t="s">
        <v>52</v>
      </c>
      <c r="D270" s="15" t="s">
        <v>31</v>
      </c>
      <c r="E270" s="14" t="str">
        <f ca="1">PROPER(TRIM(CLEAN(ShoeSales[[#This Row],[Brand]])))</f>
        <v>Timberland</v>
      </c>
      <c r="F270" s="15" t="s">
        <v>29</v>
      </c>
      <c r="G270" s="3">
        <v>2</v>
      </c>
      <c r="H270" s="15" t="s">
        <v>41</v>
      </c>
      <c r="I270" s="5">
        <f>VLOOKUP(ShoeSales[[#This Row],[Product]],Price!$A$2:C277,2,)</f>
        <v>128</v>
      </c>
      <c r="J270" s="5">
        <f>VLOOKUP(ShoeSales[[#This Row],[Product]],Price!$A$2:C277,3,)</f>
        <v>72</v>
      </c>
      <c r="K270" s="5">
        <f>ShoeSales[[#This Row],[Quantity]]*ShoeSales[[#This Row],[Unit_price]]</f>
        <v>256</v>
      </c>
      <c r="L270" s="5">
        <f>ShoeSales[[#This Row],[Quantity]]*ShoeSales[[#This Row],[Unit_cost]]</f>
        <v>144</v>
      </c>
      <c r="M270" s="5">
        <f>ShoeSales[[#This Row],[Revenue]]-ShoeSales[[#This Row],[Total_cost]]</f>
        <v>112</v>
      </c>
      <c r="N270" s="11">
        <f>ShoeSales[[#This Row],[Profit]]/ShoeSales[[#This Row],[Revenue]]</f>
        <v>0.4375</v>
      </c>
    </row>
    <row r="271" spans="1:14" ht="14.25" customHeight="1" x14ac:dyDescent="0.25">
      <c r="A271" s="8">
        <v>46235</v>
      </c>
      <c r="B271" s="14" t="s">
        <v>10</v>
      </c>
      <c r="C271" s="16" t="s">
        <v>52</v>
      </c>
      <c r="D271" s="16" t="s">
        <v>38</v>
      </c>
      <c r="E271" s="14" t="str">
        <f ca="1">PROPER(TRIM(CLEAN(ShoeSales[[#This Row],[Brand]])))</f>
        <v>Zara</v>
      </c>
      <c r="F271" s="16" t="s">
        <v>50</v>
      </c>
      <c r="G271" s="4">
        <v>12</v>
      </c>
      <c r="H271" s="16" t="s">
        <v>41</v>
      </c>
      <c r="I271" s="5">
        <f>VLOOKUP(ShoeSales[[#This Row],[Product]],Price!$A$2:C278,2,)</f>
        <v>105</v>
      </c>
      <c r="J271" s="5">
        <f>VLOOKUP(ShoeSales[[#This Row],[Product]],Price!$A$2:C278,3,)</f>
        <v>58</v>
      </c>
      <c r="K271" s="5">
        <f>ShoeSales[[#This Row],[Quantity]]*ShoeSales[[#This Row],[Unit_price]]</f>
        <v>1260</v>
      </c>
      <c r="L271" s="5">
        <f>ShoeSales[[#This Row],[Quantity]]*ShoeSales[[#This Row],[Unit_cost]]</f>
        <v>696</v>
      </c>
      <c r="M271" s="5">
        <f>ShoeSales[[#This Row],[Revenue]]-ShoeSales[[#This Row],[Total_cost]]</f>
        <v>564</v>
      </c>
      <c r="N271" s="11">
        <f>ShoeSales[[#This Row],[Profit]]/ShoeSales[[#This Row],[Revenue]]</f>
        <v>0.44761904761904764</v>
      </c>
    </row>
    <row r="272" spans="1:14" ht="14.25" customHeight="1" x14ac:dyDescent="0.25">
      <c r="A272" s="7">
        <v>46178</v>
      </c>
      <c r="B272" s="14" t="s">
        <v>6</v>
      </c>
      <c r="C272" s="15" t="s">
        <v>27</v>
      </c>
      <c r="D272" s="15" t="s">
        <v>42</v>
      </c>
      <c r="E272" s="14" t="str">
        <f ca="1">PROPER(TRIM(CLEAN(ShoeSales[[#This Row],[Brand]])))</f>
        <v>Nike</v>
      </c>
      <c r="F272" s="15" t="s">
        <v>44</v>
      </c>
      <c r="G272" s="3">
        <v>15</v>
      </c>
      <c r="H272" s="15" t="s">
        <v>30</v>
      </c>
      <c r="I272" s="5">
        <f>VLOOKUP(ShoeSales[[#This Row],[Product]],Price!$A$2:C279,2,)</f>
        <v>54</v>
      </c>
      <c r="J272" s="5">
        <f>VLOOKUP(ShoeSales[[#This Row],[Product]],Price!$A$2:C279,3,)</f>
        <v>28</v>
      </c>
      <c r="K272" s="5">
        <f>ShoeSales[[#This Row],[Quantity]]*ShoeSales[[#This Row],[Unit_price]]</f>
        <v>810</v>
      </c>
      <c r="L272" s="5">
        <f>ShoeSales[[#This Row],[Quantity]]*ShoeSales[[#This Row],[Unit_cost]]</f>
        <v>420</v>
      </c>
      <c r="M272" s="5">
        <f>ShoeSales[[#This Row],[Revenue]]-ShoeSales[[#This Row],[Total_cost]]</f>
        <v>390</v>
      </c>
      <c r="N272" s="11">
        <f>ShoeSales[[#This Row],[Profit]]/ShoeSales[[#This Row],[Revenue]]</f>
        <v>0.48148148148148145</v>
      </c>
    </row>
    <row r="273" spans="1:14" ht="14.25" customHeight="1" x14ac:dyDescent="0.25">
      <c r="A273" s="8">
        <v>46190</v>
      </c>
      <c r="B273" s="14" t="s">
        <v>7</v>
      </c>
      <c r="C273" s="16" t="s">
        <v>27</v>
      </c>
      <c r="D273" s="16" t="s">
        <v>38</v>
      </c>
      <c r="E273" s="14" t="str">
        <f ca="1">PROPER(TRIM(CLEAN(ShoeSales[[#This Row],[Brand]])))</f>
        <v>Timberland</v>
      </c>
      <c r="F273" s="16" t="s">
        <v>44</v>
      </c>
      <c r="G273" s="4">
        <v>13</v>
      </c>
      <c r="H273" s="16" t="s">
        <v>45</v>
      </c>
      <c r="I273" s="5">
        <f>VLOOKUP(ShoeSales[[#This Row],[Product]],Price!$A$2:C280,2,)</f>
        <v>32</v>
      </c>
      <c r="J273" s="5">
        <f>VLOOKUP(ShoeSales[[#This Row],[Product]],Price!$A$2:C280,3,)</f>
        <v>14</v>
      </c>
      <c r="K273" s="5">
        <f>ShoeSales[[#This Row],[Quantity]]*ShoeSales[[#This Row],[Unit_price]]</f>
        <v>416</v>
      </c>
      <c r="L273" s="5">
        <f>ShoeSales[[#This Row],[Quantity]]*ShoeSales[[#This Row],[Unit_cost]]</f>
        <v>182</v>
      </c>
      <c r="M273" s="5">
        <f>ShoeSales[[#This Row],[Revenue]]-ShoeSales[[#This Row],[Total_cost]]</f>
        <v>234</v>
      </c>
      <c r="N273" s="11">
        <f>ShoeSales[[#This Row],[Profit]]/ShoeSales[[#This Row],[Revenue]]</f>
        <v>0.5625</v>
      </c>
    </row>
    <row r="274" spans="1:14" ht="14.25" customHeight="1" x14ac:dyDescent="0.25">
      <c r="A274" s="7">
        <v>46110</v>
      </c>
      <c r="B274" s="14" t="s">
        <v>15</v>
      </c>
      <c r="C274" s="15" t="s">
        <v>52</v>
      </c>
      <c r="D274" s="15" t="s">
        <v>33</v>
      </c>
      <c r="E274" s="14" t="str">
        <f ca="1">PROPER(TRIM(CLEAN(ShoeSales[[#This Row],[Brand]])))</f>
        <v>Clarks</v>
      </c>
      <c r="F274" s="15" t="s">
        <v>29</v>
      </c>
      <c r="G274" s="3">
        <v>3</v>
      </c>
      <c r="H274" s="15" t="s">
        <v>41</v>
      </c>
      <c r="I274" s="5">
        <f>VLOOKUP(ShoeSales[[#This Row],[Product]],Price!$A$2:C281,2,)</f>
        <v>119</v>
      </c>
      <c r="J274" s="5">
        <f>VLOOKUP(ShoeSales[[#This Row],[Product]],Price!$A$2:C281,3,)</f>
        <v>67</v>
      </c>
      <c r="K274" s="5">
        <f>ShoeSales[[#This Row],[Quantity]]*ShoeSales[[#This Row],[Unit_price]]</f>
        <v>357</v>
      </c>
      <c r="L274" s="5">
        <f>ShoeSales[[#This Row],[Quantity]]*ShoeSales[[#This Row],[Unit_cost]]</f>
        <v>201</v>
      </c>
      <c r="M274" s="5">
        <f>ShoeSales[[#This Row],[Revenue]]-ShoeSales[[#This Row],[Total_cost]]</f>
        <v>156</v>
      </c>
      <c r="N274" s="11">
        <f>ShoeSales[[#This Row],[Profit]]/ShoeSales[[#This Row],[Revenue]]</f>
        <v>0.43697478991596639</v>
      </c>
    </row>
    <row r="275" spans="1:14" ht="14.25" customHeight="1" x14ac:dyDescent="0.25">
      <c r="A275" s="8">
        <v>46208</v>
      </c>
      <c r="B275" s="14" t="s">
        <v>5</v>
      </c>
      <c r="C275" s="16" t="s">
        <v>27</v>
      </c>
      <c r="D275" s="16" t="s">
        <v>38</v>
      </c>
      <c r="E275" s="14" t="str">
        <f ca="1">PROPER(TRIM(CLEAN(ShoeSales[[#This Row],[Brand]])))</f>
        <v>Timberland</v>
      </c>
      <c r="F275" s="16" t="s">
        <v>51</v>
      </c>
      <c r="G275" s="4">
        <v>3</v>
      </c>
      <c r="H275" s="16" t="s">
        <v>41</v>
      </c>
      <c r="I275" s="5">
        <f>VLOOKUP(ShoeSales[[#This Row],[Product]],Price!$A$2:C282,2,)</f>
        <v>89</v>
      </c>
      <c r="J275" s="5">
        <f>VLOOKUP(ShoeSales[[#This Row],[Product]],Price!$A$2:C282,3,)</f>
        <v>47</v>
      </c>
      <c r="K275" s="5">
        <f>ShoeSales[[#This Row],[Quantity]]*ShoeSales[[#This Row],[Unit_price]]</f>
        <v>267</v>
      </c>
      <c r="L275" s="5">
        <f>ShoeSales[[#This Row],[Quantity]]*ShoeSales[[#This Row],[Unit_cost]]</f>
        <v>141</v>
      </c>
      <c r="M275" s="5">
        <f>ShoeSales[[#This Row],[Revenue]]-ShoeSales[[#This Row],[Total_cost]]</f>
        <v>126</v>
      </c>
      <c r="N275" s="11">
        <f>ShoeSales[[#This Row],[Profit]]/ShoeSales[[#This Row],[Revenue]]</f>
        <v>0.47191011235955055</v>
      </c>
    </row>
    <row r="276" spans="1:14" ht="14.25" customHeight="1" x14ac:dyDescent="0.25">
      <c r="A276" s="7">
        <v>46097</v>
      </c>
      <c r="B276" s="14" t="s">
        <v>15</v>
      </c>
      <c r="C276" s="15" t="s">
        <v>27</v>
      </c>
      <c r="D276" s="15" t="s">
        <v>28</v>
      </c>
      <c r="E276" s="14" t="str">
        <f ca="1">PROPER(TRIM(CLEAN(ShoeSales[[#This Row],[Brand]])))</f>
        <v>Clarks</v>
      </c>
      <c r="F276" s="15" t="s">
        <v>39</v>
      </c>
      <c r="G276" s="3">
        <v>12</v>
      </c>
      <c r="H276" s="15" t="s">
        <v>45</v>
      </c>
      <c r="I276" s="5">
        <f>VLOOKUP(ShoeSales[[#This Row],[Product]],Price!$A$2:C283,2,)</f>
        <v>119</v>
      </c>
      <c r="J276" s="5">
        <f>VLOOKUP(ShoeSales[[#This Row],[Product]],Price!$A$2:C283,3,)</f>
        <v>67</v>
      </c>
      <c r="K276" s="5">
        <f>ShoeSales[[#This Row],[Quantity]]*ShoeSales[[#This Row],[Unit_price]]</f>
        <v>1428</v>
      </c>
      <c r="L276" s="5">
        <f>ShoeSales[[#This Row],[Quantity]]*ShoeSales[[#This Row],[Unit_cost]]</f>
        <v>804</v>
      </c>
      <c r="M276" s="5">
        <f>ShoeSales[[#This Row],[Revenue]]-ShoeSales[[#This Row],[Total_cost]]</f>
        <v>624</v>
      </c>
      <c r="N276" s="11">
        <f>ShoeSales[[#This Row],[Profit]]/ShoeSales[[#This Row],[Revenue]]</f>
        <v>0.43697478991596639</v>
      </c>
    </row>
    <row r="277" spans="1:14" ht="14.25" customHeight="1" x14ac:dyDescent="0.25">
      <c r="A277" s="8">
        <v>46199</v>
      </c>
      <c r="B277" s="14" t="s">
        <v>9</v>
      </c>
      <c r="C277" s="16" t="s">
        <v>27</v>
      </c>
      <c r="D277" s="16" t="s">
        <v>38</v>
      </c>
      <c r="E277" s="14" t="str">
        <f ca="1">PROPER(TRIM(CLEAN(ShoeSales[[#This Row],[Brand]])))</f>
        <v>Zara</v>
      </c>
      <c r="F277" s="16" t="s">
        <v>34</v>
      </c>
      <c r="G277" s="4">
        <v>8</v>
      </c>
      <c r="H277" s="16" t="s">
        <v>41</v>
      </c>
      <c r="I277" s="5">
        <f>VLOOKUP(ShoeSales[[#This Row],[Product]],Price!$A$2:C284,2,)</f>
        <v>128</v>
      </c>
      <c r="J277" s="5">
        <f>VLOOKUP(ShoeSales[[#This Row],[Product]],Price!$A$2:C284,3,)</f>
        <v>72</v>
      </c>
      <c r="K277" s="5">
        <f>ShoeSales[[#This Row],[Quantity]]*ShoeSales[[#This Row],[Unit_price]]</f>
        <v>1024</v>
      </c>
      <c r="L277" s="5">
        <f>ShoeSales[[#This Row],[Quantity]]*ShoeSales[[#This Row],[Unit_cost]]</f>
        <v>576</v>
      </c>
      <c r="M277" s="5">
        <f>ShoeSales[[#This Row],[Revenue]]-ShoeSales[[#This Row],[Total_cost]]</f>
        <v>448</v>
      </c>
      <c r="N277" s="11">
        <f>ShoeSales[[#This Row],[Profit]]/ShoeSales[[#This Row],[Revenue]]</f>
        <v>0.4375</v>
      </c>
    </row>
    <row r="278" spans="1:14" ht="14.25" customHeight="1" x14ac:dyDescent="0.25">
      <c r="A278" s="7">
        <v>46111</v>
      </c>
      <c r="B278" s="14" t="s">
        <v>12</v>
      </c>
      <c r="C278" s="15" t="s">
        <v>52</v>
      </c>
      <c r="D278" s="15" t="s">
        <v>38</v>
      </c>
      <c r="E278" s="14" t="str">
        <f ca="1">PROPER(TRIM(CLEAN(ShoeSales[[#This Row],[Brand]])))</f>
        <v>Timberland</v>
      </c>
      <c r="F278" s="15" t="s">
        <v>51</v>
      </c>
      <c r="G278" s="3">
        <v>4</v>
      </c>
      <c r="H278" s="15" t="s">
        <v>30</v>
      </c>
      <c r="I278" s="5">
        <f>VLOOKUP(ShoeSales[[#This Row],[Product]],Price!$A$2:C285,2,)</f>
        <v>112</v>
      </c>
      <c r="J278" s="5">
        <f>VLOOKUP(ShoeSales[[#This Row],[Product]],Price!$A$2:C285,3,)</f>
        <v>64</v>
      </c>
      <c r="K278" s="5">
        <f>ShoeSales[[#This Row],[Quantity]]*ShoeSales[[#This Row],[Unit_price]]</f>
        <v>448</v>
      </c>
      <c r="L278" s="5">
        <f>ShoeSales[[#This Row],[Quantity]]*ShoeSales[[#This Row],[Unit_cost]]</f>
        <v>256</v>
      </c>
      <c r="M278" s="5">
        <f>ShoeSales[[#This Row],[Revenue]]-ShoeSales[[#This Row],[Total_cost]]</f>
        <v>192</v>
      </c>
      <c r="N278" s="11">
        <f>ShoeSales[[#This Row],[Profit]]/ShoeSales[[#This Row],[Revenue]]</f>
        <v>0.42857142857142855</v>
      </c>
    </row>
    <row r="279" spans="1:14" ht="14.25" customHeight="1" x14ac:dyDescent="0.25">
      <c r="A279" s="8">
        <v>46094</v>
      </c>
      <c r="B279" s="14" t="s">
        <v>7</v>
      </c>
      <c r="C279" s="16" t="s">
        <v>48</v>
      </c>
      <c r="D279" s="16" t="s">
        <v>33</v>
      </c>
      <c r="E279" s="14" t="str">
        <f ca="1">PROPER(TRIM(CLEAN(ShoeSales[[#This Row],[Brand]])))</f>
        <v>Clarks</v>
      </c>
      <c r="F279" s="16" t="s">
        <v>46</v>
      </c>
      <c r="G279" s="4">
        <v>9</v>
      </c>
      <c r="H279" s="16" t="s">
        <v>32</v>
      </c>
      <c r="I279" s="5">
        <f>VLOOKUP(ShoeSales[[#This Row],[Product]],Price!$A$2:C286,2,)</f>
        <v>32</v>
      </c>
      <c r="J279" s="5">
        <f>VLOOKUP(ShoeSales[[#This Row],[Product]],Price!$A$2:C286,3,)</f>
        <v>14</v>
      </c>
      <c r="K279" s="5">
        <f>ShoeSales[[#This Row],[Quantity]]*ShoeSales[[#This Row],[Unit_price]]</f>
        <v>288</v>
      </c>
      <c r="L279" s="5">
        <f>ShoeSales[[#This Row],[Quantity]]*ShoeSales[[#This Row],[Unit_cost]]</f>
        <v>126</v>
      </c>
      <c r="M279" s="5">
        <f>ShoeSales[[#This Row],[Revenue]]-ShoeSales[[#This Row],[Total_cost]]</f>
        <v>162</v>
      </c>
      <c r="N279" s="11">
        <f>ShoeSales[[#This Row],[Profit]]/ShoeSales[[#This Row],[Revenue]]</f>
        <v>0.5625</v>
      </c>
    </row>
    <row r="280" spans="1:14" ht="14.25" customHeight="1" x14ac:dyDescent="0.25">
      <c r="A280" s="7">
        <v>46031</v>
      </c>
      <c r="B280" s="14" t="s">
        <v>9</v>
      </c>
      <c r="C280" s="15" t="s">
        <v>27</v>
      </c>
      <c r="D280" s="15" t="s">
        <v>31</v>
      </c>
      <c r="E280" s="14" t="str">
        <f ca="1">PROPER(TRIM(CLEAN(ShoeSales[[#This Row],[Brand]])))</f>
        <v>Clarks</v>
      </c>
      <c r="F280" s="15" t="s">
        <v>34</v>
      </c>
      <c r="G280" s="3">
        <v>7</v>
      </c>
      <c r="H280" s="15" t="s">
        <v>41</v>
      </c>
      <c r="I280" s="5">
        <f>VLOOKUP(ShoeSales[[#This Row],[Product]],Price!$A$2:C287,2,)</f>
        <v>128</v>
      </c>
      <c r="J280" s="5">
        <f>VLOOKUP(ShoeSales[[#This Row],[Product]],Price!$A$2:C287,3,)</f>
        <v>72</v>
      </c>
      <c r="K280" s="5">
        <f>ShoeSales[[#This Row],[Quantity]]*ShoeSales[[#This Row],[Unit_price]]</f>
        <v>896</v>
      </c>
      <c r="L280" s="5">
        <f>ShoeSales[[#This Row],[Quantity]]*ShoeSales[[#This Row],[Unit_cost]]</f>
        <v>504</v>
      </c>
      <c r="M280" s="5">
        <f>ShoeSales[[#This Row],[Revenue]]-ShoeSales[[#This Row],[Total_cost]]</f>
        <v>392</v>
      </c>
      <c r="N280" s="11">
        <f>ShoeSales[[#This Row],[Profit]]/ShoeSales[[#This Row],[Revenue]]</f>
        <v>0.4375</v>
      </c>
    </row>
    <row r="281" spans="1:14" ht="14.25" customHeight="1" x14ac:dyDescent="0.25">
      <c r="A281" s="8">
        <v>46174</v>
      </c>
      <c r="B281" s="14" t="s">
        <v>9</v>
      </c>
      <c r="C281" s="16" t="s">
        <v>27</v>
      </c>
      <c r="D281" s="16" t="s">
        <v>42</v>
      </c>
      <c r="E281" s="14" t="str">
        <f ca="1">PROPER(TRIM(CLEAN(ShoeSales[[#This Row],[Brand]])))</f>
        <v>Clarks</v>
      </c>
      <c r="F281" s="16" t="s">
        <v>39</v>
      </c>
      <c r="G281" s="4">
        <v>8</v>
      </c>
      <c r="H281" s="16" t="s">
        <v>30</v>
      </c>
      <c r="I281" s="5">
        <f>VLOOKUP(ShoeSales[[#This Row],[Product]],Price!$A$2:C288,2,)</f>
        <v>128</v>
      </c>
      <c r="J281" s="5">
        <f>VLOOKUP(ShoeSales[[#This Row],[Product]],Price!$A$2:C288,3,)</f>
        <v>72</v>
      </c>
      <c r="K281" s="5">
        <f>ShoeSales[[#This Row],[Quantity]]*ShoeSales[[#This Row],[Unit_price]]</f>
        <v>1024</v>
      </c>
      <c r="L281" s="5">
        <f>ShoeSales[[#This Row],[Quantity]]*ShoeSales[[#This Row],[Unit_cost]]</f>
        <v>576</v>
      </c>
      <c r="M281" s="5">
        <f>ShoeSales[[#This Row],[Revenue]]-ShoeSales[[#This Row],[Total_cost]]</f>
        <v>448</v>
      </c>
      <c r="N281" s="11">
        <f>ShoeSales[[#This Row],[Profit]]/ShoeSales[[#This Row],[Revenue]]</f>
        <v>0.4375</v>
      </c>
    </row>
    <row r="282" spans="1:14" ht="14.25" customHeight="1" x14ac:dyDescent="0.25">
      <c r="A282" s="7">
        <v>46168</v>
      </c>
      <c r="B282" s="14" t="s">
        <v>12</v>
      </c>
      <c r="C282" s="15" t="s">
        <v>27</v>
      </c>
      <c r="D282" s="15" t="s">
        <v>42</v>
      </c>
      <c r="E282" s="14" t="str">
        <f ca="1">PROPER(TRIM(CLEAN(ShoeSales[[#This Row],[Brand]])))</f>
        <v>Clarks</v>
      </c>
      <c r="F282" s="15" t="s">
        <v>53</v>
      </c>
      <c r="G282" s="3">
        <v>6</v>
      </c>
      <c r="H282" s="15" t="s">
        <v>30</v>
      </c>
      <c r="I282" s="5">
        <f>VLOOKUP(ShoeSales[[#This Row],[Product]],Price!$A$2:C289,2,)</f>
        <v>112</v>
      </c>
      <c r="J282" s="5">
        <f>VLOOKUP(ShoeSales[[#This Row],[Product]],Price!$A$2:C289,3,)</f>
        <v>64</v>
      </c>
      <c r="K282" s="5">
        <f>ShoeSales[[#This Row],[Quantity]]*ShoeSales[[#This Row],[Unit_price]]</f>
        <v>672</v>
      </c>
      <c r="L282" s="5">
        <f>ShoeSales[[#This Row],[Quantity]]*ShoeSales[[#This Row],[Unit_cost]]</f>
        <v>384</v>
      </c>
      <c r="M282" s="5">
        <f>ShoeSales[[#This Row],[Revenue]]-ShoeSales[[#This Row],[Total_cost]]</f>
        <v>288</v>
      </c>
      <c r="N282" s="11">
        <f>ShoeSales[[#This Row],[Profit]]/ShoeSales[[#This Row],[Revenue]]</f>
        <v>0.42857142857142855</v>
      </c>
    </row>
    <row r="283" spans="1:14" ht="14.25" customHeight="1" x14ac:dyDescent="0.25">
      <c r="A283" s="8">
        <v>46059</v>
      </c>
      <c r="B283" s="14" t="s">
        <v>9</v>
      </c>
      <c r="C283" s="16" t="s">
        <v>27</v>
      </c>
      <c r="D283" s="16" t="s">
        <v>31</v>
      </c>
      <c r="E283" s="14" t="str">
        <f ca="1">PROPER(TRIM(CLEAN(ShoeSales[[#This Row],[Brand]])))</f>
        <v>Clarks</v>
      </c>
      <c r="F283" s="16" t="s">
        <v>35</v>
      </c>
      <c r="G283" s="4">
        <v>3</v>
      </c>
      <c r="H283" s="16" t="s">
        <v>30</v>
      </c>
      <c r="I283" s="5">
        <f>VLOOKUP(ShoeSales[[#This Row],[Product]],Price!$A$2:C290,2,)</f>
        <v>128</v>
      </c>
      <c r="J283" s="5">
        <f>VLOOKUP(ShoeSales[[#This Row],[Product]],Price!$A$2:C290,3,)</f>
        <v>72</v>
      </c>
      <c r="K283" s="5">
        <f>ShoeSales[[#This Row],[Quantity]]*ShoeSales[[#This Row],[Unit_price]]</f>
        <v>384</v>
      </c>
      <c r="L283" s="5">
        <f>ShoeSales[[#This Row],[Quantity]]*ShoeSales[[#This Row],[Unit_cost]]</f>
        <v>216</v>
      </c>
      <c r="M283" s="5">
        <f>ShoeSales[[#This Row],[Revenue]]-ShoeSales[[#This Row],[Total_cost]]</f>
        <v>168</v>
      </c>
      <c r="N283" s="11">
        <f>ShoeSales[[#This Row],[Profit]]/ShoeSales[[#This Row],[Revenue]]</f>
        <v>0.4375</v>
      </c>
    </row>
    <row r="284" spans="1:14" ht="14.25" customHeight="1" x14ac:dyDescent="0.25">
      <c r="A284" s="7">
        <v>46088</v>
      </c>
      <c r="B284" s="14" t="s">
        <v>10</v>
      </c>
      <c r="C284" s="15" t="s">
        <v>37</v>
      </c>
      <c r="D284" s="15" t="s">
        <v>28</v>
      </c>
      <c r="E284" s="14" t="str">
        <f ca="1">PROPER(TRIM(CLEAN(ShoeSales[[#This Row],[Brand]])))</f>
        <v>Clarks</v>
      </c>
      <c r="F284" s="15" t="s">
        <v>40</v>
      </c>
      <c r="G284" s="3">
        <v>3</v>
      </c>
      <c r="H284" s="15" t="s">
        <v>41</v>
      </c>
      <c r="I284" s="5">
        <f>VLOOKUP(ShoeSales[[#This Row],[Product]],Price!$A$2:C291,2,)</f>
        <v>105</v>
      </c>
      <c r="J284" s="5">
        <f>VLOOKUP(ShoeSales[[#This Row],[Product]],Price!$A$2:C291,3,)</f>
        <v>58</v>
      </c>
      <c r="K284" s="5">
        <f>ShoeSales[[#This Row],[Quantity]]*ShoeSales[[#This Row],[Unit_price]]</f>
        <v>315</v>
      </c>
      <c r="L284" s="5">
        <f>ShoeSales[[#This Row],[Quantity]]*ShoeSales[[#This Row],[Unit_cost]]</f>
        <v>174</v>
      </c>
      <c r="M284" s="5">
        <f>ShoeSales[[#This Row],[Revenue]]-ShoeSales[[#This Row],[Total_cost]]</f>
        <v>141</v>
      </c>
      <c r="N284" s="11">
        <f>ShoeSales[[#This Row],[Profit]]/ShoeSales[[#This Row],[Revenue]]</f>
        <v>0.44761904761904764</v>
      </c>
    </row>
    <row r="285" spans="1:14" ht="14.25" customHeight="1" x14ac:dyDescent="0.25">
      <c r="A285" s="8">
        <v>46032</v>
      </c>
      <c r="B285" s="14" t="s">
        <v>9</v>
      </c>
      <c r="C285" s="16" t="s">
        <v>27</v>
      </c>
      <c r="D285" s="16" t="s">
        <v>28</v>
      </c>
      <c r="E285" s="14" t="str">
        <f ca="1">PROPER(TRIM(CLEAN(ShoeSales[[#This Row],[Brand]])))</f>
        <v>Clarks</v>
      </c>
      <c r="F285" s="16" t="s">
        <v>51</v>
      </c>
      <c r="G285" s="4">
        <v>7</v>
      </c>
      <c r="H285" s="16" t="s">
        <v>30</v>
      </c>
      <c r="I285" s="5">
        <f>VLOOKUP(ShoeSales[[#This Row],[Product]],Price!$A$2:C292,2,)</f>
        <v>128</v>
      </c>
      <c r="J285" s="5">
        <f>VLOOKUP(ShoeSales[[#This Row],[Product]],Price!$A$2:C292,3,)</f>
        <v>72</v>
      </c>
      <c r="K285" s="5">
        <f>ShoeSales[[#This Row],[Quantity]]*ShoeSales[[#This Row],[Unit_price]]</f>
        <v>896</v>
      </c>
      <c r="L285" s="5">
        <f>ShoeSales[[#This Row],[Quantity]]*ShoeSales[[#This Row],[Unit_cost]]</f>
        <v>504</v>
      </c>
      <c r="M285" s="5">
        <f>ShoeSales[[#This Row],[Revenue]]-ShoeSales[[#This Row],[Total_cost]]</f>
        <v>392</v>
      </c>
      <c r="N285" s="11">
        <f>ShoeSales[[#This Row],[Profit]]/ShoeSales[[#This Row],[Revenue]]</f>
        <v>0.4375</v>
      </c>
    </row>
    <row r="286" spans="1:14" ht="14.25" customHeight="1" x14ac:dyDescent="0.25">
      <c r="A286" s="7">
        <v>46125</v>
      </c>
      <c r="B286" s="14" t="s">
        <v>15</v>
      </c>
      <c r="C286" s="15" t="s">
        <v>27</v>
      </c>
      <c r="D286" s="15" t="s">
        <v>38</v>
      </c>
      <c r="E286" s="14" t="str">
        <f ca="1">PROPER(TRIM(CLEAN(ShoeSales[[#This Row],[Brand]])))</f>
        <v>Clarks</v>
      </c>
      <c r="F286" s="15" t="s">
        <v>51</v>
      </c>
      <c r="G286" s="3">
        <v>5</v>
      </c>
      <c r="H286" s="15" t="s">
        <v>45</v>
      </c>
      <c r="I286" s="5">
        <f>VLOOKUP(ShoeSales[[#This Row],[Product]],Price!$A$2:C293,2,)</f>
        <v>119</v>
      </c>
      <c r="J286" s="5">
        <f>VLOOKUP(ShoeSales[[#This Row],[Product]],Price!$A$2:C293,3,)</f>
        <v>67</v>
      </c>
      <c r="K286" s="5">
        <f>ShoeSales[[#This Row],[Quantity]]*ShoeSales[[#This Row],[Unit_price]]</f>
        <v>595</v>
      </c>
      <c r="L286" s="5">
        <f>ShoeSales[[#This Row],[Quantity]]*ShoeSales[[#This Row],[Unit_cost]]</f>
        <v>335</v>
      </c>
      <c r="M286" s="5">
        <f>ShoeSales[[#This Row],[Revenue]]-ShoeSales[[#This Row],[Total_cost]]</f>
        <v>260</v>
      </c>
      <c r="N286" s="11">
        <f>ShoeSales[[#This Row],[Profit]]/ShoeSales[[#This Row],[Revenue]]</f>
        <v>0.43697478991596639</v>
      </c>
    </row>
    <row r="287" spans="1:14" ht="14.25" customHeight="1" x14ac:dyDescent="0.25">
      <c r="A287" s="8">
        <v>46049</v>
      </c>
      <c r="B287" s="14" t="s">
        <v>15</v>
      </c>
      <c r="C287" s="16" t="s">
        <v>48</v>
      </c>
      <c r="D287" s="16" t="s">
        <v>28</v>
      </c>
      <c r="E287" s="14" t="str">
        <f ca="1">PROPER(TRIM(CLEAN(ShoeSales[[#This Row],[Brand]])))</f>
        <v>Clarks</v>
      </c>
      <c r="F287" s="16" t="s">
        <v>47</v>
      </c>
      <c r="G287" s="4">
        <v>3</v>
      </c>
      <c r="H287" s="16" t="s">
        <v>32</v>
      </c>
      <c r="I287" s="5">
        <f>VLOOKUP(ShoeSales[[#This Row],[Product]],Price!$A$2:C294,2,)</f>
        <v>119</v>
      </c>
      <c r="J287" s="5">
        <f>VLOOKUP(ShoeSales[[#This Row],[Product]],Price!$A$2:C294,3,)</f>
        <v>67</v>
      </c>
      <c r="K287" s="5">
        <f>ShoeSales[[#This Row],[Quantity]]*ShoeSales[[#This Row],[Unit_price]]</f>
        <v>357</v>
      </c>
      <c r="L287" s="5">
        <f>ShoeSales[[#This Row],[Quantity]]*ShoeSales[[#This Row],[Unit_cost]]</f>
        <v>201</v>
      </c>
      <c r="M287" s="5">
        <f>ShoeSales[[#This Row],[Revenue]]-ShoeSales[[#This Row],[Total_cost]]</f>
        <v>156</v>
      </c>
      <c r="N287" s="11">
        <f>ShoeSales[[#This Row],[Profit]]/ShoeSales[[#This Row],[Revenue]]</f>
        <v>0.43697478991596639</v>
      </c>
    </row>
    <row r="288" spans="1:14" ht="14.25" customHeight="1" x14ac:dyDescent="0.25">
      <c r="A288" s="7">
        <v>46138</v>
      </c>
      <c r="B288" s="14" t="s">
        <v>10</v>
      </c>
      <c r="C288" s="15" t="s">
        <v>52</v>
      </c>
      <c r="D288" s="15" t="s">
        <v>28</v>
      </c>
      <c r="E288" s="14" t="str">
        <f ca="1">PROPER(TRIM(CLEAN(ShoeSales[[#This Row],[Brand]])))</f>
        <v>Clarks</v>
      </c>
      <c r="F288" s="15" t="s">
        <v>29</v>
      </c>
      <c r="G288" s="3">
        <v>12</v>
      </c>
      <c r="H288" s="15" t="s">
        <v>32</v>
      </c>
      <c r="I288" s="5">
        <f>VLOOKUP(ShoeSales[[#This Row],[Product]],Price!$A$2:C295,2,)</f>
        <v>105</v>
      </c>
      <c r="J288" s="5">
        <f>VLOOKUP(ShoeSales[[#This Row],[Product]],Price!$A$2:C295,3,)</f>
        <v>58</v>
      </c>
      <c r="K288" s="5">
        <f>ShoeSales[[#This Row],[Quantity]]*ShoeSales[[#This Row],[Unit_price]]</f>
        <v>1260</v>
      </c>
      <c r="L288" s="5">
        <f>ShoeSales[[#This Row],[Quantity]]*ShoeSales[[#This Row],[Unit_cost]]</f>
        <v>696</v>
      </c>
      <c r="M288" s="5">
        <f>ShoeSales[[#This Row],[Revenue]]-ShoeSales[[#This Row],[Total_cost]]</f>
        <v>564</v>
      </c>
      <c r="N288" s="11">
        <f>ShoeSales[[#This Row],[Profit]]/ShoeSales[[#This Row],[Revenue]]</f>
        <v>0.44761904761904764</v>
      </c>
    </row>
    <row r="289" spans="1:14" ht="14.25" customHeight="1" x14ac:dyDescent="0.25">
      <c r="A289" s="8">
        <v>46193</v>
      </c>
      <c r="B289" s="14" t="s">
        <v>7</v>
      </c>
      <c r="C289" s="16" t="s">
        <v>27</v>
      </c>
      <c r="D289" s="16" t="s">
        <v>38</v>
      </c>
      <c r="E289" s="14" t="str">
        <f ca="1">PROPER(TRIM(CLEAN(ShoeSales[[#This Row],[Brand]])))</f>
        <v>Clarks</v>
      </c>
      <c r="F289" s="16" t="s">
        <v>36</v>
      </c>
      <c r="G289" s="4">
        <v>9</v>
      </c>
      <c r="H289" s="16" t="s">
        <v>32</v>
      </c>
      <c r="I289" s="5">
        <f>VLOOKUP(ShoeSales[[#This Row],[Product]],Price!$A$2:C296,2,)</f>
        <v>32</v>
      </c>
      <c r="J289" s="5">
        <f>VLOOKUP(ShoeSales[[#This Row],[Product]],Price!$A$2:C296,3,)</f>
        <v>14</v>
      </c>
      <c r="K289" s="5">
        <f>ShoeSales[[#This Row],[Quantity]]*ShoeSales[[#This Row],[Unit_price]]</f>
        <v>288</v>
      </c>
      <c r="L289" s="5">
        <f>ShoeSales[[#This Row],[Quantity]]*ShoeSales[[#This Row],[Unit_cost]]</f>
        <v>126</v>
      </c>
      <c r="M289" s="5">
        <f>ShoeSales[[#This Row],[Revenue]]-ShoeSales[[#This Row],[Total_cost]]</f>
        <v>162</v>
      </c>
      <c r="N289" s="11">
        <f>ShoeSales[[#This Row],[Profit]]/ShoeSales[[#This Row],[Revenue]]</f>
        <v>0.5625</v>
      </c>
    </row>
    <row r="290" spans="1:14" ht="14.25" customHeight="1" x14ac:dyDescent="0.25">
      <c r="A290" s="7">
        <v>46124</v>
      </c>
      <c r="B290" s="14" t="s">
        <v>15</v>
      </c>
      <c r="C290" s="15" t="s">
        <v>27</v>
      </c>
      <c r="D290" s="15" t="s">
        <v>28</v>
      </c>
      <c r="E290" s="14" t="str">
        <f ca="1">PROPER(TRIM(CLEAN(ShoeSales[[#This Row],[Brand]])))</f>
        <v>Clarks</v>
      </c>
      <c r="F290" s="15" t="s">
        <v>43</v>
      </c>
      <c r="G290" s="3">
        <v>3</v>
      </c>
      <c r="H290" s="15" t="s">
        <v>45</v>
      </c>
      <c r="I290" s="5">
        <f>VLOOKUP(ShoeSales[[#This Row],[Product]],Price!$A$2:C297,2,)</f>
        <v>119</v>
      </c>
      <c r="J290" s="5">
        <f>VLOOKUP(ShoeSales[[#This Row],[Product]],Price!$A$2:C297,3,)</f>
        <v>67</v>
      </c>
      <c r="K290" s="5">
        <f>ShoeSales[[#This Row],[Quantity]]*ShoeSales[[#This Row],[Unit_price]]</f>
        <v>357</v>
      </c>
      <c r="L290" s="5">
        <f>ShoeSales[[#This Row],[Quantity]]*ShoeSales[[#This Row],[Unit_cost]]</f>
        <v>201</v>
      </c>
      <c r="M290" s="5">
        <f>ShoeSales[[#This Row],[Revenue]]-ShoeSales[[#This Row],[Total_cost]]</f>
        <v>156</v>
      </c>
      <c r="N290" s="11">
        <f>ShoeSales[[#This Row],[Profit]]/ShoeSales[[#This Row],[Revenue]]</f>
        <v>0.43697478991596639</v>
      </c>
    </row>
    <row r="291" spans="1:14" ht="14.25" customHeight="1" x14ac:dyDescent="0.25">
      <c r="A291" s="8">
        <v>46028</v>
      </c>
      <c r="B291" s="14" t="s">
        <v>10</v>
      </c>
      <c r="C291" s="16" t="s">
        <v>27</v>
      </c>
      <c r="D291" s="16" t="s">
        <v>28</v>
      </c>
      <c r="E291" s="14" t="str">
        <f ca="1">PROPER(TRIM(CLEAN(ShoeSales[[#This Row],[Brand]])))</f>
        <v>Nike</v>
      </c>
      <c r="F291" s="16" t="s">
        <v>39</v>
      </c>
      <c r="G291" s="4">
        <v>9</v>
      </c>
      <c r="H291" s="16" t="s">
        <v>30</v>
      </c>
      <c r="I291" s="5">
        <f>VLOOKUP(ShoeSales[[#This Row],[Product]],Price!$A$2:C298,2,)</f>
        <v>105</v>
      </c>
      <c r="J291" s="5">
        <f>VLOOKUP(ShoeSales[[#This Row],[Product]],Price!$A$2:C298,3,)</f>
        <v>58</v>
      </c>
      <c r="K291" s="5">
        <f>ShoeSales[[#This Row],[Quantity]]*ShoeSales[[#This Row],[Unit_price]]</f>
        <v>945</v>
      </c>
      <c r="L291" s="5">
        <f>ShoeSales[[#This Row],[Quantity]]*ShoeSales[[#This Row],[Unit_cost]]</f>
        <v>522</v>
      </c>
      <c r="M291" s="5">
        <f>ShoeSales[[#This Row],[Revenue]]-ShoeSales[[#This Row],[Total_cost]]</f>
        <v>423</v>
      </c>
      <c r="N291" s="11">
        <f>ShoeSales[[#This Row],[Profit]]/ShoeSales[[#This Row],[Revenue]]</f>
        <v>0.44761904761904764</v>
      </c>
    </row>
    <row r="292" spans="1:14" ht="14.25" customHeight="1" x14ac:dyDescent="0.25">
      <c r="A292" s="7">
        <v>46090</v>
      </c>
      <c r="B292" s="14" t="s">
        <v>12</v>
      </c>
      <c r="C292" s="15" t="s">
        <v>27</v>
      </c>
      <c r="D292" s="15" t="s">
        <v>38</v>
      </c>
      <c r="E292" s="14" t="str">
        <f ca="1">PROPER(TRIM(CLEAN(ShoeSales[[#This Row],[Brand]])))</f>
        <v>Zara</v>
      </c>
      <c r="F292" s="15" t="s">
        <v>36</v>
      </c>
      <c r="G292" s="3">
        <v>2</v>
      </c>
      <c r="H292" s="15" t="s">
        <v>32</v>
      </c>
      <c r="I292" s="5">
        <f>VLOOKUP(ShoeSales[[#This Row],[Product]],Price!$A$2:C299,2,)</f>
        <v>112</v>
      </c>
      <c r="J292" s="5">
        <f>VLOOKUP(ShoeSales[[#This Row],[Product]],Price!$A$2:C299,3,)</f>
        <v>64</v>
      </c>
      <c r="K292" s="5">
        <f>ShoeSales[[#This Row],[Quantity]]*ShoeSales[[#This Row],[Unit_price]]</f>
        <v>224</v>
      </c>
      <c r="L292" s="5">
        <f>ShoeSales[[#This Row],[Quantity]]*ShoeSales[[#This Row],[Unit_cost]]</f>
        <v>128</v>
      </c>
      <c r="M292" s="5">
        <f>ShoeSales[[#This Row],[Revenue]]-ShoeSales[[#This Row],[Total_cost]]</f>
        <v>96</v>
      </c>
      <c r="N292" s="11">
        <f>ShoeSales[[#This Row],[Profit]]/ShoeSales[[#This Row],[Revenue]]</f>
        <v>0.42857142857142855</v>
      </c>
    </row>
    <row r="293" spans="1:14" ht="14.25" customHeight="1" x14ac:dyDescent="0.25">
      <c r="A293" s="8">
        <v>46182</v>
      </c>
      <c r="B293" s="14" t="s">
        <v>8</v>
      </c>
      <c r="C293" s="16" t="s">
        <v>48</v>
      </c>
      <c r="D293" s="16" t="s">
        <v>38</v>
      </c>
      <c r="E293" s="14" t="str">
        <f ca="1">PROPER(TRIM(CLEAN(ShoeSales[[#This Row],[Brand]])))</f>
        <v>Nike</v>
      </c>
      <c r="F293" s="16" t="s">
        <v>50</v>
      </c>
      <c r="G293" s="4">
        <v>6</v>
      </c>
      <c r="H293" s="16" t="s">
        <v>30</v>
      </c>
      <c r="I293" s="5">
        <f>VLOOKUP(ShoeSales[[#This Row],[Product]],Price!$A$2:C300,2,)</f>
        <v>76</v>
      </c>
      <c r="J293" s="5">
        <f>VLOOKUP(ShoeSales[[#This Row],[Product]],Price!$A$2:C300,3,)</f>
        <v>39</v>
      </c>
      <c r="K293" s="5">
        <f>ShoeSales[[#This Row],[Quantity]]*ShoeSales[[#This Row],[Unit_price]]</f>
        <v>456</v>
      </c>
      <c r="L293" s="5">
        <f>ShoeSales[[#This Row],[Quantity]]*ShoeSales[[#This Row],[Unit_cost]]</f>
        <v>234</v>
      </c>
      <c r="M293" s="5">
        <f>ShoeSales[[#This Row],[Revenue]]-ShoeSales[[#This Row],[Total_cost]]</f>
        <v>222</v>
      </c>
      <c r="N293" s="11">
        <f>ShoeSales[[#This Row],[Profit]]/ShoeSales[[#This Row],[Revenue]]</f>
        <v>0.48684210526315791</v>
      </c>
    </row>
    <row r="294" spans="1:14" ht="14.25" customHeight="1" x14ac:dyDescent="0.25">
      <c r="A294" s="7">
        <v>46091</v>
      </c>
      <c r="B294" s="14" t="s">
        <v>10</v>
      </c>
      <c r="C294" s="15" t="s">
        <v>27</v>
      </c>
      <c r="D294" s="15" t="s">
        <v>31</v>
      </c>
      <c r="E294" s="14" t="str">
        <f ca="1">PROPER(TRIM(CLEAN(ShoeSales[[#This Row],[Brand]])))</f>
        <v>Timberland</v>
      </c>
      <c r="F294" s="15" t="s">
        <v>53</v>
      </c>
      <c r="G294" s="3">
        <v>14</v>
      </c>
      <c r="H294" s="15" t="s">
        <v>32</v>
      </c>
      <c r="I294" s="5">
        <f>VLOOKUP(ShoeSales[[#This Row],[Product]],Price!$A$2:C301,2,)</f>
        <v>105</v>
      </c>
      <c r="J294" s="5">
        <f>VLOOKUP(ShoeSales[[#This Row],[Product]],Price!$A$2:C301,3,)</f>
        <v>58</v>
      </c>
      <c r="K294" s="5">
        <f>ShoeSales[[#This Row],[Quantity]]*ShoeSales[[#This Row],[Unit_price]]</f>
        <v>1470</v>
      </c>
      <c r="L294" s="5">
        <f>ShoeSales[[#This Row],[Quantity]]*ShoeSales[[#This Row],[Unit_cost]]</f>
        <v>812</v>
      </c>
      <c r="M294" s="5">
        <f>ShoeSales[[#This Row],[Revenue]]-ShoeSales[[#This Row],[Total_cost]]</f>
        <v>658</v>
      </c>
      <c r="N294" s="11">
        <f>ShoeSales[[#This Row],[Profit]]/ShoeSales[[#This Row],[Revenue]]</f>
        <v>0.44761904761904764</v>
      </c>
    </row>
    <row r="295" spans="1:14" ht="14.25" customHeight="1" x14ac:dyDescent="0.25">
      <c r="A295" s="8">
        <v>46037</v>
      </c>
      <c r="B295" s="14" t="s">
        <v>6</v>
      </c>
      <c r="C295" s="16" t="s">
        <v>27</v>
      </c>
      <c r="D295" s="16" t="s">
        <v>28</v>
      </c>
      <c r="E295" s="14" t="str">
        <f ca="1">PROPER(TRIM(CLEAN(ShoeSales[[#This Row],[Brand]])))</f>
        <v>Zara</v>
      </c>
      <c r="F295" s="16" t="s">
        <v>50</v>
      </c>
      <c r="G295" s="4">
        <v>7</v>
      </c>
      <c r="H295" s="16" t="s">
        <v>41</v>
      </c>
      <c r="I295" s="5">
        <f>VLOOKUP(ShoeSales[[#This Row],[Product]],Price!$A$2:C302,2,)</f>
        <v>54</v>
      </c>
      <c r="J295" s="5">
        <f>VLOOKUP(ShoeSales[[#This Row],[Product]],Price!$A$2:C302,3,)</f>
        <v>28</v>
      </c>
      <c r="K295" s="5">
        <f>ShoeSales[[#This Row],[Quantity]]*ShoeSales[[#This Row],[Unit_price]]</f>
        <v>378</v>
      </c>
      <c r="L295" s="5">
        <f>ShoeSales[[#This Row],[Quantity]]*ShoeSales[[#This Row],[Unit_cost]]</f>
        <v>196</v>
      </c>
      <c r="M295" s="5">
        <f>ShoeSales[[#This Row],[Revenue]]-ShoeSales[[#This Row],[Total_cost]]</f>
        <v>182</v>
      </c>
      <c r="N295" s="11">
        <f>ShoeSales[[#This Row],[Profit]]/ShoeSales[[#This Row],[Revenue]]</f>
        <v>0.48148148148148145</v>
      </c>
    </row>
    <row r="296" spans="1:14" ht="14.25" customHeight="1" x14ac:dyDescent="0.25">
      <c r="A296" s="7">
        <v>46073</v>
      </c>
      <c r="B296" s="14" t="s">
        <v>8</v>
      </c>
      <c r="C296" s="15" t="s">
        <v>52</v>
      </c>
      <c r="D296" s="15" t="s">
        <v>28</v>
      </c>
      <c r="E296" s="14" t="str">
        <f ca="1">PROPER(TRIM(CLEAN(ShoeSales[[#This Row],[Brand]])))</f>
        <v>Zara</v>
      </c>
      <c r="F296" s="15" t="s">
        <v>51</v>
      </c>
      <c r="G296" s="3">
        <v>8</v>
      </c>
      <c r="H296" s="15" t="s">
        <v>45</v>
      </c>
      <c r="I296" s="5">
        <f>VLOOKUP(ShoeSales[[#This Row],[Product]],Price!$A$2:C303,2,)</f>
        <v>76</v>
      </c>
      <c r="J296" s="5">
        <f>VLOOKUP(ShoeSales[[#This Row],[Product]],Price!$A$2:C303,3,)</f>
        <v>39</v>
      </c>
      <c r="K296" s="5">
        <f>ShoeSales[[#This Row],[Quantity]]*ShoeSales[[#This Row],[Unit_price]]</f>
        <v>608</v>
      </c>
      <c r="L296" s="5">
        <f>ShoeSales[[#This Row],[Quantity]]*ShoeSales[[#This Row],[Unit_cost]]</f>
        <v>312</v>
      </c>
      <c r="M296" s="5">
        <f>ShoeSales[[#This Row],[Revenue]]-ShoeSales[[#This Row],[Total_cost]]</f>
        <v>296</v>
      </c>
      <c r="N296" s="11">
        <f>ShoeSales[[#This Row],[Profit]]/ShoeSales[[#This Row],[Revenue]]</f>
        <v>0.48684210526315791</v>
      </c>
    </row>
    <row r="297" spans="1:14" ht="14.25" customHeight="1" x14ac:dyDescent="0.25">
      <c r="A297" s="8">
        <v>46147</v>
      </c>
      <c r="B297" s="14" t="s">
        <v>7</v>
      </c>
      <c r="C297" s="16" t="s">
        <v>48</v>
      </c>
      <c r="D297" s="16" t="s">
        <v>28</v>
      </c>
      <c r="E297" s="14" t="str">
        <f ca="1">PROPER(TRIM(CLEAN(ShoeSales[[#This Row],[Brand]])))</f>
        <v>Zara</v>
      </c>
      <c r="F297" s="16" t="s">
        <v>36</v>
      </c>
      <c r="G297" s="4">
        <v>1</v>
      </c>
      <c r="H297" s="16" t="s">
        <v>45</v>
      </c>
      <c r="I297" s="5">
        <f>VLOOKUP(ShoeSales[[#This Row],[Product]],Price!$A$2:C304,2,)</f>
        <v>32</v>
      </c>
      <c r="J297" s="5">
        <f>VLOOKUP(ShoeSales[[#This Row],[Product]],Price!$A$2:C304,3,)</f>
        <v>14</v>
      </c>
      <c r="K297" s="5">
        <f>ShoeSales[[#This Row],[Quantity]]*ShoeSales[[#This Row],[Unit_price]]</f>
        <v>32</v>
      </c>
      <c r="L297" s="5">
        <f>ShoeSales[[#This Row],[Quantity]]*ShoeSales[[#This Row],[Unit_cost]]</f>
        <v>14</v>
      </c>
      <c r="M297" s="5">
        <f>ShoeSales[[#This Row],[Revenue]]-ShoeSales[[#This Row],[Total_cost]]</f>
        <v>18</v>
      </c>
      <c r="N297" s="11">
        <f>ShoeSales[[#This Row],[Profit]]/ShoeSales[[#This Row],[Revenue]]</f>
        <v>0.5625</v>
      </c>
    </row>
    <row r="298" spans="1:14" ht="14.25" customHeight="1" x14ac:dyDescent="0.25">
      <c r="A298" s="7">
        <v>46068</v>
      </c>
      <c r="B298" s="14" t="s">
        <v>6</v>
      </c>
      <c r="C298" s="15" t="s">
        <v>27</v>
      </c>
      <c r="D298" s="15" t="s">
        <v>28</v>
      </c>
      <c r="E298" s="14" t="str">
        <f ca="1">PROPER(TRIM(CLEAN(ShoeSales[[#This Row],[Brand]])))</f>
        <v>Clarks</v>
      </c>
      <c r="F298" s="15" t="s">
        <v>46</v>
      </c>
      <c r="G298" s="3">
        <v>9</v>
      </c>
      <c r="H298" s="15" t="s">
        <v>30</v>
      </c>
      <c r="I298" s="5">
        <f>VLOOKUP(ShoeSales[[#This Row],[Product]],Price!$A$2:C305,2,)</f>
        <v>54</v>
      </c>
      <c r="J298" s="5">
        <f>VLOOKUP(ShoeSales[[#This Row],[Product]],Price!$A$2:C305,3,)</f>
        <v>28</v>
      </c>
      <c r="K298" s="5">
        <f>ShoeSales[[#This Row],[Quantity]]*ShoeSales[[#This Row],[Unit_price]]</f>
        <v>486</v>
      </c>
      <c r="L298" s="5">
        <f>ShoeSales[[#This Row],[Quantity]]*ShoeSales[[#This Row],[Unit_cost]]</f>
        <v>252</v>
      </c>
      <c r="M298" s="5">
        <f>ShoeSales[[#This Row],[Revenue]]-ShoeSales[[#This Row],[Total_cost]]</f>
        <v>234</v>
      </c>
      <c r="N298" s="11">
        <f>ShoeSales[[#This Row],[Profit]]/ShoeSales[[#This Row],[Revenue]]</f>
        <v>0.48148148148148145</v>
      </c>
    </row>
    <row r="299" spans="1:14" ht="14.25" customHeight="1" x14ac:dyDescent="0.25">
      <c r="A299" s="8">
        <v>46163</v>
      </c>
      <c r="B299" s="14" t="s">
        <v>7</v>
      </c>
      <c r="C299" s="16" t="s">
        <v>48</v>
      </c>
      <c r="D299" s="16" t="s">
        <v>28</v>
      </c>
      <c r="E299" s="14" t="str">
        <f ca="1">PROPER(TRIM(CLEAN(ShoeSales[[#This Row],[Brand]])))</f>
        <v>Zara</v>
      </c>
      <c r="F299" s="16" t="s">
        <v>46</v>
      </c>
      <c r="G299" s="4">
        <v>1</v>
      </c>
      <c r="H299" s="16" t="s">
        <v>41</v>
      </c>
      <c r="I299" s="5">
        <f>VLOOKUP(ShoeSales[[#This Row],[Product]],Price!$A$2:C306,2,)</f>
        <v>32</v>
      </c>
      <c r="J299" s="5">
        <f>VLOOKUP(ShoeSales[[#This Row],[Product]],Price!$A$2:C306,3,)</f>
        <v>14</v>
      </c>
      <c r="K299" s="5">
        <f>ShoeSales[[#This Row],[Quantity]]*ShoeSales[[#This Row],[Unit_price]]</f>
        <v>32</v>
      </c>
      <c r="L299" s="5">
        <f>ShoeSales[[#This Row],[Quantity]]*ShoeSales[[#This Row],[Unit_cost]]</f>
        <v>14</v>
      </c>
      <c r="M299" s="5">
        <f>ShoeSales[[#This Row],[Revenue]]-ShoeSales[[#This Row],[Total_cost]]</f>
        <v>18</v>
      </c>
      <c r="N299" s="11">
        <f>ShoeSales[[#This Row],[Profit]]/ShoeSales[[#This Row],[Revenue]]</f>
        <v>0.5625</v>
      </c>
    </row>
    <row r="300" spans="1:14" ht="14.25" customHeight="1" x14ac:dyDescent="0.25">
      <c r="A300" s="7">
        <v>46236</v>
      </c>
      <c r="B300" s="14" t="s">
        <v>6</v>
      </c>
      <c r="C300" s="15" t="s">
        <v>27</v>
      </c>
      <c r="D300" s="15" t="s">
        <v>28</v>
      </c>
      <c r="E300" s="14" t="str">
        <f ca="1">PROPER(TRIM(CLEAN(ShoeSales[[#This Row],[Brand]])))</f>
        <v>Nike</v>
      </c>
      <c r="F300" s="15" t="s">
        <v>44</v>
      </c>
      <c r="G300" s="3">
        <v>14</v>
      </c>
      <c r="H300" s="15" t="s">
        <v>41</v>
      </c>
      <c r="I300" s="5">
        <f>VLOOKUP(ShoeSales[[#This Row],[Product]],Price!$A$2:C307,2,)</f>
        <v>54</v>
      </c>
      <c r="J300" s="5">
        <f>VLOOKUP(ShoeSales[[#This Row],[Product]],Price!$A$2:C307,3,)</f>
        <v>28</v>
      </c>
      <c r="K300" s="5">
        <f>ShoeSales[[#This Row],[Quantity]]*ShoeSales[[#This Row],[Unit_price]]</f>
        <v>756</v>
      </c>
      <c r="L300" s="5">
        <f>ShoeSales[[#This Row],[Quantity]]*ShoeSales[[#This Row],[Unit_cost]]</f>
        <v>392</v>
      </c>
      <c r="M300" s="5">
        <f>ShoeSales[[#This Row],[Revenue]]-ShoeSales[[#This Row],[Total_cost]]</f>
        <v>364</v>
      </c>
      <c r="N300" s="11">
        <f>ShoeSales[[#This Row],[Profit]]/ShoeSales[[#This Row],[Revenue]]</f>
        <v>0.48148148148148145</v>
      </c>
    </row>
    <row r="301" spans="1:14" ht="14.25" customHeight="1" x14ac:dyDescent="0.25">
      <c r="A301" s="8">
        <v>46175</v>
      </c>
      <c r="B301" s="14" t="s">
        <v>15</v>
      </c>
      <c r="C301" s="16" t="s">
        <v>48</v>
      </c>
      <c r="D301" s="16" t="s">
        <v>42</v>
      </c>
      <c r="E301" s="14" t="str">
        <f ca="1">PROPER(TRIM(CLEAN(ShoeSales[[#This Row],[Brand]])))</f>
        <v>Timberland</v>
      </c>
      <c r="F301" s="16" t="s">
        <v>39</v>
      </c>
      <c r="G301" s="4">
        <v>7</v>
      </c>
      <c r="H301" s="16" t="s">
        <v>32</v>
      </c>
      <c r="I301" s="5">
        <f>VLOOKUP(ShoeSales[[#This Row],[Product]],Price!$A$2:C308,2,)</f>
        <v>119</v>
      </c>
      <c r="J301" s="5">
        <f>VLOOKUP(ShoeSales[[#This Row],[Product]],Price!$A$2:C308,3,)</f>
        <v>67</v>
      </c>
      <c r="K301" s="5">
        <f>ShoeSales[[#This Row],[Quantity]]*ShoeSales[[#This Row],[Unit_price]]</f>
        <v>833</v>
      </c>
      <c r="L301" s="5">
        <f>ShoeSales[[#This Row],[Quantity]]*ShoeSales[[#This Row],[Unit_cost]]</f>
        <v>469</v>
      </c>
      <c r="M301" s="5">
        <f>ShoeSales[[#This Row],[Revenue]]-ShoeSales[[#This Row],[Total_cost]]</f>
        <v>364</v>
      </c>
      <c r="N301" s="11">
        <f>ShoeSales[[#This Row],[Profit]]/ShoeSales[[#This Row],[Revenue]]</f>
        <v>0.43697478991596639</v>
      </c>
    </row>
    <row r="302" spans="1:14" ht="14.25" customHeight="1" x14ac:dyDescent="0.25">
      <c r="A302" s="7">
        <v>46076</v>
      </c>
      <c r="B302" s="14" t="s">
        <v>8</v>
      </c>
      <c r="C302" s="15" t="s">
        <v>37</v>
      </c>
      <c r="D302" s="15" t="s">
        <v>31</v>
      </c>
      <c r="E302" s="14" t="str">
        <f ca="1">PROPER(TRIM(CLEAN(ShoeSales[[#This Row],[Brand]])))</f>
        <v>Clarks</v>
      </c>
      <c r="F302" s="15" t="s">
        <v>35</v>
      </c>
      <c r="G302" s="3">
        <v>6</v>
      </c>
      <c r="H302" s="15" t="s">
        <v>30</v>
      </c>
      <c r="I302" s="5">
        <f>VLOOKUP(ShoeSales[[#This Row],[Product]],Price!$A$2:C309,2,)</f>
        <v>76</v>
      </c>
      <c r="J302" s="5">
        <f>VLOOKUP(ShoeSales[[#This Row],[Product]],Price!$A$2:C309,3,)</f>
        <v>39</v>
      </c>
      <c r="K302" s="5">
        <f>ShoeSales[[#This Row],[Quantity]]*ShoeSales[[#This Row],[Unit_price]]</f>
        <v>456</v>
      </c>
      <c r="L302" s="5">
        <f>ShoeSales[[#This Row],[Quantity]]*ShoeSales[[#This Row],[Unit_cost]]</f>
        <v>234</v>
      </c>
      <c r="M302" s="5">
        <f>ShoeSales[[#This Row],[Revenue]]-ShoeSales[[#This Row],[Total_cost]]</f>
        <v>222</v>
      </c>
      <c r="N302" s="11">
        <f>ShoeSales[[#This Row],[Profit]]/ShoeSales[[#This Row],[Revenue]]</f>
        <v>0.48684210526315791</v>
      </c>
    </row>
    <row r="303" spans="1:14" ht="14.25" customHeight="1" x14ac:dyDescent="0.25">
      <c r="A303" s="8">
        <v>46177</v>
      </c>
      <c r="B303" s="14" t="s">
        <v>6</v>
      </c>
      <c r="C303" s="16" t="s">
        <v>52</v>
      </c>
      <c r="D303" s="16" t="s">
        <v>28</v>
      </c>
      <c r="E303" s="14" t="str">
        <f ca="1">PROPER(TRIM(CLEAN(ShoeSales[[#This Row],[Brand]])))</f>
        <v>Clarks</v>
      </c>
      <c r="F303" s="16" t="s">
        <v>49</v>
      </c>
      <c r="G303" s="4">
        <v>6</v>
      </c>
      <c r="H303" s="16" t="s">
        <v>32</v>
      </c>
      <c r="I303" s="5">
        <f>VLOOKUP(ShoeSales[[#This Row],[Product]],Price!$A$2:C310,2,)</f>
        <v>54</v>
      </c>
      <c r="J303" s="5">
        <f>VLOOKUP(ShoeSales[[#This Row],[Product]],Price!$A$2:C310,3,)</f>
        <v>28</v>
      </c>
      <c r="K303" s="5">
        <f>ShoeSales[[#This Row],[Quantity]]*ShoeSales[[#This Row],[Unit_price]]</f>
        <v>324</v>
      </c>
      <c r="L303" s="5">
        <f>ShoeSales[[#This Row],[Quantity]]*ShoeSales[[#This Row],[Unit_cost]]</f>
        <v>168</v>
      </c>
      <c r="M303" s="5">
        <f>ShoeSales[[#This Row],[Revenue]]-ShoeSales[[#This Row],[Total_cost]]</f>
        <v>156</v>
      </c>
      <c r="N303" s="11">
        <f>ShoeSales[[#This Row],[Profit]]/ShoeSales[[#This Row],[Revenue]]</f>
        <v>0.48148148148148145</v>
      </c>
    </row>
    <row r="304" spans="1:14" ht="14.25" customHeight="1" x14ac:dyDescent="0.25">
      <c r="A304" s="7">
        <v>46161</v>
      </c>
      <c r="B304" s="14" t="s">
        <v>10</v>
      </c>
      <c r="C304" s="15" t="s">
        <v>48</v>
      </c>
      <c r="D304" s="15" t="s">
        <v>28</v>
      </c>
      <c r="E304" s="14" t="str">
        <f ca="1">PROPER(TRIM(CLEAN(ShoeSales[[#This Row],[Brand]])))</f>
        <v>Clarks</v>
      </c>
      <c r="F304" s="15" t="s">
        <v>49</v>
      </c>
      <c r="G304" s="3">
        <v>4</v>
      </c>
      <c r="H304" s="15" t="s">
        <v>30</v>
      </c>
      <c r="I304" s="5">
        <f>VLOOKUP(ShoeSales[[#This Row],[Product]],Price!$A$2:C311,2,)</f>
        <v>105</v>
      </c>
      <c r="J304" s="5">
        <f>VLOOKUP(ShoeSales[[#This Row],[Product]],Price!$A$2:C311,3,)</f>
        <v>58</v>
      </c>
      <c r="K304" s="5">
        <f>ShoeSales[[#This Row],[Quantity]]*ShoeSales[[#This Row],[Unit_price]]</f>
        <v>420</v>
      </c>
      <c r="L304" s="5">
        <f>ShoeSales[[#This Row],[Quantity]]*ShoeSales[[#This Row],[Unit_cost]]</f>
        <v>232</v>
      </c>
      <c r="M304" s="5">
        <f>ShoeSales[[#This Row],[Revenue]]-ShoeSales[[#This Row],[Total_cost]]</f>
        <v>188</v>
      </c>
      <c r="N304" s="11">
        <f>ShoeSales[[#This Row],[Profit]]/ShoeSales[[#This Row],[Revenue]]</f>
        <v>0.44761904761904764</v>
      </c>
    </row>
    <row r="305" spans="1:14" ht="14.25" customHeight="1" x14ac:dyDescent="0.25">
      <c r="A305" s="8">
        <v>46200</v>
      </c>
      <c r="B305" s="14" t="s">
        <v>5</v>
      </c>
      <c r="C305" s="16" t="s">
        <v>37</v>
      </c>
      <c r="D305" s="16" t="s">
        <v>38</v>
      </c>
      <c r="E305" s="14" t="str">
        <f ca="1">PROPER(TRIM(CLEAN(ShoeSales[[#This Row],[Brand]])))</f>
        <v>Steve Madden</v>
      </c>
      <c r="F305" s="16" t="s">
        <v>46</v>
      </c>
      <c r="G305" s="4">
        <v>12</v>
      </c>
      <c r="H305" s="16" t="s">
        <v>41</v>
      </c>
      <c r="I305" s="5">
        <f>VLOOKUP(ShoeSales[[#This Row],[Product]],Price!$A$2:C312,2,)</f>
        <v>89</v>
      </c>
      <c r="J305" s="5">
        <f>VLOOKUP(ShoeSales[[#This Row],[Product]],Price!$A$2:C312,3,)</f>
        <v>47</v>
      </c>
      <c r="K305" s="5">
        <f>ShoeSales[[#This Row],[Quantity]]*ShoeSales[[#This Row],[Unit_price]]</f>
        <v>1068</v>
      </c>
      <c r="L305" s="5">
        <f>ShoeSales[[#This Row],[Quantity]]*ShoeSales[[#This Row],[Unit_cost]]</f>
        <v>564</v>
      </c>
      <c r="M305" s="5">
        <f>ShoeSales[[#This Row],[Revenue]]-ShoeSales[[#This Row],[Total_cost]]</f>
        <v>504</v>
      </c>
      <c r="N305" s="11">
        <f>ShoeSales[[#This Row],[Profit]]/ShoeSales[[#This Row],[Revenue]]</f>
        <v>0.47191011235955055</v>
      </c>
    </row>
    <row r="306" spans="1:14" ht="14.25" customHeight="1" x14ac:dyDescent="0.25">
      <c r="A306" s="7">
        <v>46025</v>
      </c>
      <c r="B306" s="14" t="s">
        <v>8</v>
      </c>
      <c r="C306" s="15" t="s">
        <v>27</v>
      </c>
      <c r="D306" s="15" t="s">
        <v>38</v>
      </c>
      <c r="E306" s="14" t="str">
        <f ca="1">PROPER(TRIM(CLEAN(ShoeSales[[#This Row],[Brand]])))</f>
        <v>Clarks</v>
      </c>
      <c r="F306" s="15" t="s">
        <v>40</v>
      </c>
      <c r="G306" s="3">
        <v>13</v>
      </c>
      <c r="H306" s="15" t="s">
        <v>32</v>
      </c>
      <c r="I306" s="5">
        <f>VLOOKUP(ShoeSales[[#This Row],[Product]],Price!$A$2:C313,2,)</f>
        <v>76</v>
      </c>
      <c r="J306" s="5">
        <f>VLOOKUP(ShoeSales[[#This Row],[Product]],Price!$A$2:C313,3,)</f>
        <v>39</v>
      </c>
      <c r="K306" s="5">
        <f>ShoeSales[[#This Row],[Quantity]]*ShoeSales[[#This Row],[Unit_price]]</f>
        <v>988</v>
      </c>
      <c r="L306" s="5">
        <f>ShoeSales[[#This Row],[Quantity]]*ShoeSales[[#This Row],[Unit_cost]]</f>
        <v>507</v>
      </c>
      <c r="M306" s="5">
        <f>ShoeSales[[#This Row],[Revenue]]-ShoeSales[[#This Row],[Total_cost]]</f>
        <v>481</v>
      </c>
      <c r="N306" s="11">
        <f>ShoeSales[[#This Row],[Profit]]/ShoeSales[[#This Row],[Revenue]]</f>
        <v>0.48684210526315791</v>
      </c>
    </row>
    <row r="307" spans="1:14" ht="14.25" customHeight="1" x14ac:dyDescent="0.25">
      <c r="A307" s="8">
        <v>46175</v>
      </c>
      <c r="B307" s="14" t="s">
        <v>6</v>
      </c>
      <c r="C307" s="16" t="s">
        <v>27</v>
      </c>
      <c r="D307" s="16" t="s">
        <v>28</v>
      </c>
      <c r="E307" s="14" t="str">
        <f ca="1">PROPER(TRIM(CLEAN(ShoeSales[[#This Row],[Brand]])))</f>
        <v>Zara</v>
      </c>
      <c r="F307" s="16" t="s">
        <v>46</v>
      </c>
      <c r="G307" s="4">
        <v>6</v>
      </c>
      <c r="H307" s="16" t="s">
        <v>41</v>
      </c>
      <c r="I307" s="5">
        <f>VLOOKUP(ShoeSales[[#This Row],[Product]],Price!$A$2:C314,2,)</f>
        <v>54</v>
      </c>
      <c r="J307" s="5">
        <f>VLOOKUP(ShoeSales[[#This Row],[Product]],Price!$A$2:C314,3,)</f>
        <v>28</v>
      </c>
      <c r="K307" s="5">
        <f>ShoeSales[[#This Row],[Quantity]]*ShoeSales[[#This Row],[Unit_price]]</f>
        <v>324</v>
      </c>
      <c r="L307" s="5">
        <f>ShoeSales[[#This Row],[Quantity]]*ShoeSales[[#This Row],[Unit_cost]]</f>
        <v>168</v>
      </c>
      <c r="M307" s="5">
        <f>ShoeSales[[#This Row],[Revenue]]-ShoeSales[[#This Row],[Total_cost]]</f>
        <v>156</v>
      </c>
      <c r="N307" s="11">
        <f>ShoeSales[[#This Row],[Profit]]/ShoeSales[[#This Row],[Revenue]]</f>
        <v>0.48148148148148145</v>
      </c>
    </row>
    <row r="308" spans="1:14" ht="14.25" customHeight="1" x14ac:dyDescent="0.25">
      <c r="A308" s="7">
        <v>46127</v>
      </c>
      <c r="B308" s="14" t="s">
        <v>12</v>
      </c>
      <c r="C308" s="15" t="s">
        <v>27</v>
      </c>
      <c r="D308" s="15" t="s">
        <v>33</v>
      </c>
      <c r="E308" s="14" t="str">
        <f ca="1">PROPER(TRIM(CLEAN(ShoeSales[[#This Row],[Brand]])))</f>
        <v>Nike</v>
      </c>
      <c r="F308" s="15" t="s">
        <v>53</v>
      </c>
      <c r="G308" s="3">
        <v>13</v>
      </c>
      <c r="H308" s="15" t="s">
        <v>32</v>
      </c>
      <c r="I308" s="5">
        <f>VLOOKUP(ShoeSales[[#This Row],[Product]],Price!$A$2:C315,2,)</f>
        <v>112</v>
      </c>
      <c r="J308" s="5">
        <f>VLOOKUP(ShoeSales[[#This Row],[Product]],Price!$A$2:C315,3,)</f>
        <v>64</v>
      </c>
      <c r="K308" s="5">
        <f>ShoeSales[[#This Row],[Quantity]]*ShoeSales[[#This Row],[Unit_price]]</f>
        <v>1456</v>
      </c>
      <c r="L308" s="5">
        <f>ShoeSales[[#This Row],[Quantity]]*ShoeSales[[#This Row],[Unit_cost]]</f>
        <v>832</v>
      </c>
      <c r="M308" s="5">
        <f>ShoeSales[[#This Row],[Revenue]]-ShoeSales[[#This Row],[Total_cost]]</f>
        <v>624</v>
      </c>
      <c r="N308" s="11">
        <f>ShoeSales[[#This Row],[Profit]]/ShoeSales[[#This Row],[Revenue]]</f>
        <v>0.42857142857142855</v>
      </c>
    </row>
    <row r="309" spans="1:14" ht="14.25" customHeight="1" x14ac:dyDescent="0.25">
      <c r="A309" s="8">
        <v>46120</v>
      </c>
      <c r="B309" s="14" t="s">
        <v>5</v>
      </c>
      <c r="C309" s="16" t="s">
        <v>27</v>
      </c>
      <c r="D309" s="16" t="s">
        <v>38</v>
      </c>
      <c r="E309" s="14" t="str">
        <f ca="1">PROPER(TRIM(CLEAN(ShoeSales[[#This Row],[Brand]])))</f>
        <v>Nike</v>
      </c>
      <c r="F309" s="16" t="s">
        <v>44</v>
      </c>
      <c r="G309" s="4">
        <v>5</v>
      </c>
      <c r="H309" s="16" t="s">
        <v>41</v>
      </c>
      <c r="I309" s="5">
        <f>VLOOKUP(ShoeSales[[#This Row],[Product]],Price!$A$2:C316,2,)</f>
        <v>89</v>
      </c>
      <c r="J309" s="5">
        <f>VLOOKUP(ShoeSales[[#This Row],[Product]],Price!$A$2:C316,3,)</f>
        <v>47</v>
      </c>
      <c r="K309" s="5">
        <f>ShoeSales[[#This Row],[Quantity]]*ShoeSales[[#This Row],[Unit_price]]</f>
        <v>445</v>
      </c>
      <c r="L309" s="5">
        <f>ShoeSales[[#This Row],[Quantity]]*ShoeSales[[#This Row],[Unit_cost]]</f>
        <v>235</v>
      </c>
      <c r="M309" s="5">
        <f>ShoeSales[[#This Row],[Revenue]]-ShoeSales[[#This Row],[Total_cost]]</f>
        <v>210</v>
      </c>
      <c r="N309" s="11">
        <f>ShoeSales[[#This Row],[Profit]]/ShoeSales[[#This Row],[Revenue]]</f>
        <v>0.47191011235955055</v>
      </c>
    </row>
    <row r="310" spans="1:14" ht="14.25" customHeight="1" x14ac:dyDescent="0.25">
      <c r="A310" s="7">
        <v>46149</v>
      </c>
      <c r="B310" s="14" t="s">
        <v>6</v>
      </c>
      <c r="C310" s="15" t="s">
        <v>48</v>
      </c>
      <c r="D310" s="15" t="s">
        <v>42</v>
      </c>
      <c r="E310" s="14" t="str">
        <f ca="1">PROPER(TRIM(CLEAN(ShoeSales[[#This Row],[Brand]])))</f>
        <v>Zara</v>
      </c>
      <c r="F310" s="15" t="s">
        <v>34</v>
      </c>
      <c r="G310" s="3">
        <v>2</v>
      </c>
      <c r="H310" s="15" t="s">
        <v>32</v>
      </c>
      <c r="I310" s="5">
        <f>VLOOKUP(ShoeSales[[#This Row],[Product]],Price!$A$2:C317,2,)</f>
        <v>54</v>
      </c>
      <c r="J310" s="5">
        <f>VLOOKUP(ShoeSales[[#This Row],[Product]],Price!$A$2:C317,3,)</f>
        <v>28</v>
      </c>
      <c r="K310" s="5">
        <f>ShoeSales[[#This Row],[Quantity]]*ShoeSales[[#This Row],[Unit_price]]</f>
        <v>108</v>
      </c>
      <c r="L310" s="5">
        <f>ShoeSales[[#This Row],[Quantity]]*ShoeSales[[#This Row],[Unit_cost]]</f>
        <v>56</v>
      </c>
      <c r="M310" s="5">
        <f>ShoeSales[[#This Row],[Revenue]]-ShoeSales[[#This Row],[Total_cost]]</f>
        <v>52</v>
      </c>
      <c r="N310" s="11">
        <f>ShoeSales[[#This Row],[Profit]]/ShoeSales[[#This Row],[Revenue]]</f>
        <v>0.48148148148148145</v>
      </c>
    </row>
    <row r="311" spans="1:14" ht="14.25" customHeight="1" x14ac:dyDescent="0.25">
      <c r="A311" s="8">
        <v>46171</v>
      </c>
      <c r="B311" s="14" t="s">
        <v>12</v>
      </c>
      <c r="C311" s="16" t="s">
        <v>52</v>
      </c>
      <c r="D311" s="16" t="s">
        <v>28</v>
      </c>
      <c r="E311" s="14" t="str">
        <f ca="1">PROPER(TRIM(CLEAN(ShoeSales[[#This Row],[Brand]])))</f>
        <v>Timberland</v>
      </c>
      <c r="F311" s="16" t="s">
        <v>44</v>
      </c>
      <c r="G311" s="4">
        <v>7</v>
      </c>
      <c r="H311" s="16" t="s">
        <v>32</v>
      </c>
      <c r="I311" s="5">
        <f>VLOOKUP(ShoeSales[[#This Row],[Product]],Price!$A$2:C318,2,)</f>
        <v>112</v>
      </c>
      <c r="J311" s="5">
        <f>VLOOKUP(ShoeSales[[#This Row],[Product]],Price!$A$2:C318,3,)</f>
        <v>64</v>
      </c>
      <c r="K311" s="5">
        <f>ShoeSales[[#This Row],[Quantity]]*ShoeSales[[#This Row],[Unit_price]]</f>
        <v>784</v>
      </c>
      <c r="L311" s="5">
        <f>ShoeSales[[#This Row],[Quantity]]*ShoeSales[[#This Row],[Unit_cost]]</f>
        <v>448</v>
      </c>
      <c r="M311" s="5">
        <f>ShoeSales[[#This Row],[Revenue]]-ShoeSales[[#This Row],[Total_cost]]</f>
        <v>336</v>
      </c>
      <c r="N311" s="11">
        <f>ShoeSales[[#This Row],[Profit]]/ShoeSales[[#This Row],[Revenue]]</f>
        <v>0.42857142857142855</v>
      </c>
    </row>
    <row r="312" spans="1:14" ht="14.25" customHeight="1" x14ac:dyDescent="0.25">
      <c r="A312" s="7">
        <v>46112</v>
      </c>
      <c r="B312" s="14" t="s">
        <v>5</v>
      </c>
      <c r="C312" s="15" t="s">
        <v>48</v>
      </c>
      <c r="D312" s="15" t="s">
        <v>38</v>
      </c>
      <c r="E312" s="14" t="str">
        <f ca="1">PROPER(TRIM(CLEAN(ShoeSales[[#This Row],[Brand]])))</f>
        <v>Nike</v>
      </c>
      <c r="F312" s="15" t="s">
        <v>46</v>
      </c>
      <c r="G312" s="3">
        <v>9</v>
      </c>
      <c r="H312" s="15" t="s">
        <v>41</v>
      </c>
      <c r="I312" s="5">
        <f>VLOOKUP(ShoeSales[[#This Row],[Product]],Price!$A$2:C319,2,)</f>
        <v>89</v>
      </c>
      <c r="J312" s="5">
        <f>VLOOKUP(ShoeSales[[#This Row],[Product]],Price!$A$2:C319,3,)</f>
        <v>47</v>
      </c>
      <c r="K312" s="5">
        <f>ShoeSales[[#This Row],[Quantity]]*ShoeSales[[#This Row],[Unit_price]]</f>
        <v>801</v>
      </c>
      <c r="L312" s="5">
        <f>ShoeSales[[#This Row],[Quantity]]*ShoeSales[[#This Row],[Unit_cost]]</f>
        <v>423</v>
      </c>
      <c r="M312" s="5">
        <f>ShoeSales[[#This Row],[Revenue]]-ShoeSales[[#This Row],[Total_cost]]</f>
        <v>378</v>
      </c>
      <c r="N312" s="11">
        <f>ShoeSales[[#This Row],[Profit]]/ShoeSales[[#This Row],[Revenue]]</f>
        <v>0.47191011235955055</v>
      </c>
    </row>
    <row r="313" spans="1:14" ht="14.25" customHeight="1" x14ac:dyDescent="0.25">
      <c r="A313" s="8">
        <v>46144</v>
      </c>
      <c r="B313" s="14" t="s">
        <v>5</v>
      </c>
      <c r="C313" s="16" t="s">
        <v>27</v>
      </c>
      <c r="D313" s="16" t="s">
        <v>33</v>
      </c>
      <c r="E313" s="14" t="str">
        <f ca="1">PROPER(TRIM(CLEAN(ShoeSales[[#This Row],[Brand]])))</f>
        <v>Zara</v>
      </c>
      <c r="F313" s="16" t="s">
        <v>29</v>
      </c>
      <c r="G313" s="4">
        <v>6</v>
      </c>
      <c r="H313" s="16" t="s">
        <v>30</v>
      </c>
      <c r="I313" s="5">
        <f>VLOOKUP(ShoeSales[[#This Row],[Product]],Price!$A$2:C320,2,)</f>
        <v>89</v>
      </c>
      <c r="J313" s="5">
        <f>VLOOKUP(ShoeSales[[#This Row],[Product]],Price!$A$2:C320,3,)</f>
        <v>47</v>
      </c>
      <c r="K313" s="5">
        <f>ShoeSales[[#This Row],[Quantity]]*ShoeSales[[#This Row],[Unit_price]]</f>
        <v>534</v>
      </c>
      <c r="L313" s="5">
        <f>ShoeSales[[#This Row],[Quantity]]*ShoeSales[[#This Row],[Unit_cost]]</f>
        <v>282</v>
      </c>
      <c r="M313" s="5">
        <f>ShoeSales[[#This Row],[Revenue]]-ShoeSales[[#This Row],[Total_cost]]</f>
        <v>252</v>
      </c>
      <c r="N313" s="11">
        <f>ShoeSales[[#This Row],[Profit]]/ShoeSales[[#This Row],[Revenue]]</f>
        <v>0.47191011235955055</v>
      </c>
    </row>
    <row r="314" spans="1:14" ht="14.25" customHeight="1" x14ac:dyDescent="0.25">
      <c r="A314" s="7">
        <v>46142</v>
      </c>
      <c r="B314" s="14" t="s">
        <v>12</v>
      </c>
      <c r="C314" s="15" t="s">
        <v>52</v>
      </c>
      <c r="D314" s="15" t="s">
        <v>31</v>
      </c>
      <c r="E314" s="14" t="str">
        <f ca="1">PROPER(TRIM(CLEAN(ShoeSales[[#This Row],[Brand]])))</f>
        <v>Timberland</v>
      </c>
      <c r="F314" s="15" t="s">
        <v>53</v>
      </c>
      <c r="G314" s="3">
        <v>10</v>
      </c>
      <c r="H314" s="15" t="s">
        <v>45</v>
      </c>
      <c r="I314" s="5">
        <f>VLOOKUP(ShoeSales[[#This Row],[Product]],Price!$A$2:C321,2,)</f>
        <v>112</v>
      </c>
      <c r="J314" s="5">
        <f>VLOOKUP(ShoeSales[[#This Row],[Product]],Price!$A$2:C321,3,)</f>
        <v>64</v>
      </c>
      <c r="K314" s="5">
        <f>ShoeSales[[#This Row],[Quantity]]*ShoeSales[[#This Row],[Unit_price]]</f>
        <v>1120</v>
      </c>
      <c r="L314" s="5">
        <f>ShoeSales[[#This Row],[Quantity]]*ShoeSales[[#This Row],[Unit_cost]]</f>
        <v>640</v>
      </c>
      <c r="M314" s="5">
        <f>ShoeSales[[#This Row],[Revenue]]-ShoeSales[[#This Row],[Total_cost]]</f>
        <v>480</v>
      </c>
      <c r="N314" s="11">
        <f>ShoeSales[[#This Row],[Profit]]/ShoeSales[[#This Row],[Revenue]]</f>
        <v>0.42857142857142855</v>
      </c>
    </row>
    <row r="315" spans="1:14" ht="14.25" customHeight="1" x14ac:dyDescent="0.25">
      <c r="A315" s="8">
        <v>46221</v>
      </c>
      <c r="B315" s="14" t="s">
        <v>7</v>
      </c>
      <c r="C315" s="16" t="s">
        <v>52</v>
      </c>
      <c r="D315" s="16" t="s">
        <v>42</v>
      </c>
      <c r="E315" s="14" t="str">
        <f ca="1">PROPER(TRIM(CLEAN(ShoeSales[[#This Row],[Brand]])))</f>
        <v>Timberland</v>
      </c>
      <c r="F315" s="16" t="s">
        <v>51</v>
      </c>
      <c r="G315" s="4">
        <v>1</v>
      </c>
      <c r="H315" s="16" t="s">
        <v>32</v>
      </c>
      <c r="I315" s="5">
        <f>VLOOKUP(ShoeSales[[#This Row],[Product]],Price!$A$2:C322,2,)</f>
        <v>32</v>
      </c>
      <c r="J315" s="5">
        <f>VLOOKUP(ShoeSales[[#This Row],[Product]],Price!$A$2:C322,3,)</f>
        <v>14</v>
      </c>
      <c r="K315" s="5">
        <f>ShoeSales[[#This Row],[Quantity]]*ShoeSales[[#This Row],[Unit_price]]</f>
        <v>32</v>
      </c>
      <c r="L315" s="5">
        <f>ShoeSales[[#This Row],[Quantity]]*ShoeSales[[#This Row],[Unit_cost]]</f>
        <v>14</v>
      </c>
      <c r="M315" s="5">
        <f>ShoeSales[[#This Row],[Revenue]]-ShoeSales[[#This Row],[Total_cost]]</f>
        <v>18</v>
      </c>
      <c r="N315" s="11">
        <f>ShoeSales[[#This Row],[Profit]]/ShoeSales[[#This Row],[Revenue]]</f>
        <v>0.5625</v>
      </c>
    </row>
    <row r="316" spans="1:14" ht="14.25" customHeight="1" x14ac:dyDescent="0.25">
      <c r="A316" s="7">
        <v>46152</v>
      </c>
      <c r="B316" s="14" t="s">
        <v>10</v>
      </c>
      <c r="C316" s="15" t="s">
        <v>48</v>
      </c>
      <c r="D316" s="15" t="s">
        <v>42</v>
      </c>
      <c r="E316" s="14" t="str">
        <f ca="1">PROPER(TRIM(CLEAN(ShoeSales[[#This Row],[Brand]])))</f>
        <v>Zara</v>
      </c>
      <c r="F316" s="15" t="s">
        <v>29</v>
      </c>
      <c r="G316" s="3">
        <v>13</v>
      </c>
      <c r="H316" s="15" t="s">
        <v>41</v>
      </c>
      <c r="I316" s="5">
        <f>VLOOKUP(ShoeSales[[#This Row],[Product]],Price!$A$2:C323,2,)</f>
        <v>105</v>
      </c>
      <c r="J316" s="5">
        <f>VLOOKUP(ShoeSales[[#This Row],[Product]],Price!$A$2:C323,3,)</f>
        <v>58</v>
      </c>
      <c r="K316" s="5">
        <f>ShoeSales[[#This Row],[Quantity]]*ShoeSales[[#This Row],[Unit_price]]</f>
        <v>1365</v>
      </c>
      <c r="L316" s="5">
        <f>ShoeSales[[#This Row],[Quantity]]*ShoeSales[[#This Row],[Unit_cost]]</f>
        <v>754</v>
      </c>
      <c r="M316" s="5">
        <f>ShoeSales[[#This Row],[Revenue]]-ShoeSales[[#This Row],[Total_cost]]</f>
        <v>611</v>
      </c>
      <c r="N316" s="11">
        <f>ShoeSales[[#This Row],[Profit]]/ShoeSales[[#This Row],[Revenue]]</f>
        <v>0.44761904761904764</v>
      </c>
    </row>
    <row r="317" spans="1:14" ht="14.25" customHeight="1" x14ac:dyDescent="0.25">
      <c r="A317" s="8">
        <v>46070</v>
      </c>
      <c r="B317" s="14" t="s">
        <v>6</v>
      </c>
      <c r="C317" s="16" t="s">
        <v>27</v>
      </c>
      <c r="D317" s="16" t="s">
        <v>42</v>
      </c>
      <c r="E317" s="14" t="str">
        <f ca="1">PROPER(TRIM(CLEAN(ShoeSales[[#This Row],[Brand]])))</f>
        <v>Clarks</v>
      </c>
      <c r="F317" s="16" t="s">
        <v>39</v>
      </c>
      <c r="G317" s="4">
        <v>9</v>
      </c>
      <c r="H317" s="16" t="s">
        <v>41</v>
      </c>
      <c r="I317" s="5">
        <f>VLOOKUP(ShoeSales[[#This Row],[Product]],Price!$A$2:C324,2,)</f>
        <v>54</v>
      </c>
      <c r="J317" s="5">
        <f>VLOOKUP(ShoeSales[[#This Row],[Product]],Price!$A$2:C324,3,)</f>
        <v>28</v>
      </c>
      <c r="K317" s="5">
        <f>ShoeSales[[#This Row],[Quantity]]*ShoeSales[[#This Row],[Unit_price]]</f>
        <v>486</v>
      </c>
      <c r="L317" s="5">
        <f>ShoeSales[[#This Row],[Quantity]]*ShoeSales[[#This Row],[Unit_cost]]</f>
        <v>252</v>
      </c>
      <c r="M317" s="5">
        <f>ShoeSales[[#This Row],[Revenue]]-ShoeSales[[#This Row],[Total_cost]]</f>
        <v>234</v>
      </c>
      <c r="N317" s="11">
        <f>ShoeSales[[#This Row],[Profit]]/ShoeSales[[#This Row],[Revenue]]</f>
        <v>0.48148148148148145</v>
      </c>
    </row>
    <row r="318" spans="1:14" ht="14.25" customHeight="1" x14ac:dyDescent="0.25">
      <c r="A318" s="7">
        <v>46178</v>
      </c>
      <c r="B318" s="14" t="s">
        <v>15</v>
      </c>
      <c r="C318" s="15" t="s">
        <v>48</v>
      </c>
      <c r="D318" s="15" t="s">
        <v>33</v>
      </c>
      <c r="E318" s="14" t="str">
        <f ca="1">PROPER(TRIM(CLEAN(ShoeSales[[#This Row],[Brand]])))</f>
        <v>Clarks</v>
      </c>
      <c r="F318" s="15" t="s">
        <v>35</v>
      </c>
      <c r="G318" s="3">
        <v>15</v>
      </c>
      <c r="H318" s="15" t="s">
        <v>41</v>
      </c>
      <c r="I318" s="5">
        <f>VLOOKUP(ShoeSales[[#This Row],[Product]],Price!$A$2:C325,2,)</f>
        <v>119</v>
      </c>
      <c r="J318" s="5">
        <f>VLOOKUP(ShoeSales[[#This Row],[Product]],Price!$A$2:C325,3,)</f>
        <v>67</v>
      </c>
      <c r="K318" s="5">
        <f>ShoeSales[[#This Row],[Quantity]]*ShoeSales[[#This Row],[Unit_price]]</f>
        <v>1785</v>
      </c>
      <c r="L318" s="5">
        <f>ShoeSales[[#This Row],[Quantity]]*ShoeSales[[#This Row],[Unit_cost]]</f>
        <v>1005</v>
      </c>
      <c r="M318" s="5">
        <f>ShoeSales[[#This Row],[Revenue]]-ShoeSales[[#This Row],[Total_cost]]</f>
        <v>780</v>
      </c>
      <c r="N318" s="11">
        <f>ShoeSales[[#This Row],[Profit]]/ShoeSales[[#This Row],[Revenue]]</f>
        <v>0.43697478991596639</v>
      </c>
    </row>
    <row r="319" spans="1:14" ht="14.25" customHeight="1" x14ac:dyDescent="0.25">
      <c r="A319" s="8">
        <v>46047</v>
      </c>
      <c r="B319" s="14" t="s">
        <v>9</v>
      </c>
      <c r="C319" s="16" t="s">
        <v>52</v>
      </c>
      <c r="D319" s="16" t="s">
        <v>28</v>
      </c>
      <c r="E319" s="14" t="str">
        <f ca="1">PROPER(TRIM(CLEAN(ShoeSales[[#This Row],[Brand]])))</f>
        <v>Zara</v>
      </c>
      <c r="F319" s="16" t="s">
        <v>39</v>
      </c>
      <c r="G319" s="4">
        <v>14</v>
      </c>
      <c r="H319" s="16" t="s">
        <v>32</v>
      </c>
      <c r="I319" s="5">
        <f>VLOOKUP(ShoeSales[[#This Row],[Product]],Price!$A$2:C326,2,)</f>
        <v>128</v>
      </c>
      <c r="J319" s="5">
        <f>VLOOKUP(ShoeSales[[#This Row],[Product]],Price!$A$2:C326,3,)</f>
        <v>72</v>
      </c>
      <c r="K319" s="5">
        <f>ShoeSales[[#This Row],[Quantity]]*ShoeSales[[#This Row],[Unit_price]]</f>
        <v>1792</v>
      </c>
      <c r="L319" s="5">
        <f>ShoeSales[[#This Row],[Quantity]]*ShoeSales[[#This Row],[Unit_cost]]</f>
        <v>1008</v>
      </c>
      <c r="M319" s="5">
        <f>ShoeSales[[#This Row],[Revenue]]-ShoeSales[[#This Row],[Total_cost]]</f>
        <v>784</v>
      </c>
      <c r="N319" s="11">
        <f>ShoeSales[[#This Row],[Profit]]/ShoeSales[[#This Row],[Revenue]]</f>
        <v>0.4375</v>
      </c>
    </row>
    <row r="320" spans="1:14" ht="14.25" customHeight="1" x14ac:dyDescent="0.25">
      <c r="A320" s="7">
        <v>46151</v>
      </c>
      <c r="B320" s="14" t="s">
        <v>5</v>
      </c>
      <c r="C320" s="15" t="s">
        <v>52</v>
      </c>
      <c r="D320" s="15" t="s">
        <v>38</v>
      </c>
      <c r="E320" s="14" t="str">
        <f ca="1">PROPER(TRIM(CLEAN(ShoeSales[[#This Row],[Brand]])))</f>
        <v>Clarks</v>
      </c>
      <c r="F320" s="15" t="s">
        <v>40</v>
      </c>
      <c r="G320" s="3">
        <v>15</v>
      </c>
      <c r="H320" s="15" t="s">
        <v>32</v>
      </c>
      <c r="I320" s="5">
        <f>VLOOKUP(ShoeSales[[#This Row],[Product]],Price!$A$2:C327,2,)</f>
        <v>89</v>
      </c>
      <c r="J320" s="5">
        <f>VLOOKUP(ShoeSales[[#This Row],[Product]],Price!$A$2:C327,3,)</f>
        <v>47</v>
      </c>
      <c r="K320" s="5">
        <f>ShoeSales[[#This Row],[Quantity]]*ShoeSales[[#This Row],[Unit_price]]</f>
        <v>1335</v>
      </c>
      <c r="L320" s="5">
        <f>ShoeSales[[#This Row],[Quantity]]*ShoeSales[[#This Row],[Unit_cost]]</f>
        <v>705</v>
      </c>
      <c r="M320" s="5">
        <f>ShoeSales[[#This Row],[Revenue]]-ShoeSales[[#This Row],[Total_cost]]</f>
        <v>630</v>
      </c>
      <c r="N320" s="11">
        <f>ShoeSales[[#This Row],[Profit]]/ShoeSales[[#This Row],[Revenue]]</f>
        <v>0.47191011235955055</v>
      </c>
    </row>
    <row r="321" spans="1:14" ht="14.25" customHeight="1" x14ac:dyDescent="0.25">
      <c r="A321" s="8">
        <v>46103</v>
      </c>
      <c r="B321" s="14" t="s">
        <v>10</v>
      </c>
      <c r="C321" s="16" t="s">
        <v>27</v>
      </c>
      <c r="D321" s="16" t="s">
        <v>33</v>
      </c>
      <c r="E321" s="14" t="str">
        <f ca="1">PROPER(TRIM(CLEAN(ShoeSales[[#This Row],[Brand]])))</f>
        <v>Clarks</v>
      </c>
      <c r="F321" s="16" t="s">
        <v>40</v>
      </c>
      <c r="G321" s="4">
        <v>14</v>
      </c>
      <c r="H321" s="16" t="s">
        <v>32</v>
      </c>
      <c r="I321" s="5">
        <f>VLOOKUP(ShoeSales[[#This Row],[Product]],Price!$A$2:C328,2,)</f>
        <v>105</v>
      </c>
      <c r="J321" s="5">
        <f>VLOOKUP(ShoeSales[[#This Row],[Product]],Price!$A$2:C328,3,)</f>
        <v>58</v>
      </c>
      <c r="K321" s="5">
        <f>ShoeSales[[#This Row],[Quantity]]*ShoeSales[[#This Row],[Unit_price]]</f>
        <v>1470</v>
      </c>
      <c r="L321" s="5">
        <f>ShoeSales[[#This Row],[Quantity]]*ShoeSales[[#This Row],[Unit_cost]]</f>
        <v>812</v>
      </c>
      <c r="M321" s="5">
        <f>ShoeSales[[#This Row],[Revenue]]-ShoeSales[[#This Row],[Total_cost]]</f>
        <v>658</v>
      </c>
      <c r="N321" s="11">
        <f>ShoeSales[[#This Row],[Profit]]/ShoeSales[[#This Row],[Revenue]]</f>
        <v>0.44761904761904764</v>
      </c>
    </row>
    <row r="322" spans="1:14" ht="14.25" customHeight="1" x14ac:dyDescent="0.25">
      <c r="A322" s="7">
        <v>46192</v>
      </c>
      <c r="B322" s="14" t="s">
        <v>15</v>
      </c>
      <c r="C322" s="15" t="s">
        <v>48</v>
      </c>
      <c r="D322" s="15" t="s">
        <v>38</v>
      </c>
      <c r="E322" s="14" t="str">
        <f ca="1">PROPER(TRIM(CLEAN(ShoeSales[[#This Row],[Brand]])))</f>
        <v>Clarks</v>
      </c>
      <c r="F322" s="15" t="s">
        <v>51</v>
      </c>
      <c r="G322" s="3">
        <v>6</v>
      </c>
      <c r="H322" s="15" t="s">
        <v>41</v>
      </c>
      <c r="I322" s="5">
        <f>VLOOKUP(ShoeSales[[#This Row],[Product]],Price!$A$2:C329,2,)</f>
        <v>119</v>
      </c>
      <c r="J322" s="5">
        <f>VLOOKUP(ShoeSales[[#This Row],[Product]],Price!$A$2:C329,3,)</f>
        <v>67</v>
      </c>
      <c r="K322" s="5">
        <f>ShoeSales[[#This Row],[Quantity]]*ShoeSales[[#This Row],[Unit_price]]</f>
        <v>714</v>
      </c>
      <c r="L322" s="5">
        <f>ShoeSales[[#This Row],[Quantity]]*ShoeSales[[#This Row],[Unit_cost]]</f>
        <v>402</v>
      </c>
      <c r="M322" s="5">
        <f>ShoeSales[[#This Row],[Revenue]]-ShoeSales[[#This Row],[Total_cost]]</f>
        <v>312</v>
      </c>
      <c r="N322" s="11">
        <f>ShoeSales[[#This Row],[Profit]]/ShoeSales[[#This Row],[Revenue]]</f>
        <v>0.43697478991596639</v>
      </c>
    </row>
    <row r="323" spans="1:14" ht="14.25" customHeight="1" x14ac:dyDescent="0.25">
      <c r="A323" s="8">
        <v>46037</v>
      </c>
      <c r="B323" s="14" t="s">
        <v>6</v>
      </c>
      <c r="C323" s="16" t="s">
        <v>37</v>
      </c>
      <c r="D323" s="16" t="s">
        <v>28</v>
      </c>
      <c r="E323" s="14" t="str">
        <f ca="1">PROPER(TRIM(CLEAN(ShoeSales[[#This Row],[Brand]])))</f>
        <v>Nike</v>
      </c>
      <c r="F323" s="16" t="s">
        <v>36</v>
      </c>
      <c r="G323" s="4">
        <v>15</v>
      </c>
      <c r="H323" s="16" t="s">
        <v>45</v>
      </c>
      <c r="I323" s="5">
        <f>VLOOKUP(ShoeSales[[#This Row],[Product]],Price!$A$2:C330,2,)</f>
        <v>54</v>
      </c>
      <c r="J323" s="5">
        <f>VLOOKUP(ShoeSales[[#This Row],[Product]],Price!$A$2:C330,3,)</f>
        <v>28</v>
      </c>
      <c r="K323" s="5">
        <f>ShoeSales[[#This Row],[Quantity]]*ShoeSales[[#This Row],[Unit_price]]</f>
        <v>810</v>
      </c>
      <c r="L323" s="5">
        <f>ShoeSales[[#This Row],[Quantity]]*ShoeSales[[#This Row],[Unit_cost]]</f>
        <v>420</v>
      </c>
      <c r="M323" s="5">
        <f>ShoeSales[[#This Row],[Revenue]]-ShoeSales[[#This Row],[Total_cost]]</f>
        <v>390</v>
      </c>
      <c r="N323" s="11">
        <f>ShoeSales[[#This Row],[Profit]]/ShoeSales[[#This Row],[Revenue]]</f>
        <v>0.48148148148148145</v>
      </c>
    </row>
    <row r="324" spans="1:14" ht="14.25" customHeight="1" x14ac:dyDescent="0.25">
      <c r="A324" s="7">
        <v>46089</v>
      </c>
      <c r="B324" s="14" t="s">
        <v>8</v>
      </c>
      <c r="C324" s="15" t="s">
        <v>52</v>
      </c>
      <c r="D324" s="15" t="s">
        <v>31</v>
      </c>
      <c r="E324" s="14" t="str">
        <f ca="1">PROPER(TRIM(CLEAN(ShoeSales[[#This Row],[Brand]])))</f>
        <v>Steve Madden</v>
      </c>
      <c r="F324" s="15" t="s">
        <v>51</v>
      </c>
      <c r="G324" s="3">
        <v>6</v>
      </c>
      <c r="H324" s="15" t="s">
        <v>30</v>
      </c>
      <c r="I324" s="5">
        <f>VLOOKUP(ShoeSales[[#This Row],[Product]],Price!$A$2:C331,2,)</f>
        <v>76</v>
      </c>
      <c r="J324" s="5">
        <f>VLOOKUP(ShoeSales[[#This Row],[Product]],Price!$A$2:C331,3,)</f>
        <v>39</v>
      </c>
      <c r="K324" s="5">
        <f>ShoeSales[[#This Row],[Quantity]]*ShoeSales[[#This Row],[Unit_price]]</f>
        <v>456</v>
      </c>
      <c r="L324" s="5">
        <f>ShoeSales[[#This Row],[Quantity]]*ShoeSales[[#This Row],[Unit_cost]]</f>
        <v>234</v>
      </c>
      <c r="M324" s="5">
        <f>ShoeSales[[#This Row],[Revenue]]-ShoeSales[[#This Row],[Total_cost]]</f>
        <v>222</v>
      </c>
      <c r="N324" s="11">
        <f>ShoeSales[[#This Row],[Profit]]/ShoeSales[[#This Row],[Revenue]]</f>
        <v>0.48684210526315791</v>
      </c>
    </row>
    <row r="325" spans="1:14" ht="14.25" customHeight="1" x14ac:dyDescent="0.25">
      <c r="A325" s="8">
        <v>46096</v>
      </c>
      <c r="B325" s="14" t="s">
        <v>9</v>
      </c>
      <c r="C325" s="16" t="s">
        <v>48</v>
      </c>
      <c r="D325" s="16" t="s">
        <v>42</v>
      </c>
      <c r="E325" s="14" t="str">
        <f ca="1">PROPER(TRIM(CLEAN(ShoeSales[[#This Row],[Brand]])))</f>
        <v>Zara</v>
      </c>
      <c r="F325" s="16" t="s">
        <v>40</v>
      </c>
      <c r="G325" s="4">
        <v>10</v>
      </c>
      <c r="H325" s="16" t="s">
        <v>30</v>
      </c>
      <c r="I325" s="5">
        <f>VLOOKUP(ShoeSales[[#This Row],[Product]],Price!$A$2:C332,2,)</f>
        <v>128</v>
      </c>
      <c r="J325" s="5">
        <f>VLOOKUP(ShoeSales[[#This Row],[Product]],Price!$A$2:C332,3,)</f>
        <v>72</v>
      </c>
      <c r="K325" s="5">
        <f>ShoeSales[[#This Row],[Quantity]]*ShoeSales[[#This Row],[Unit_price]]</f>
        <v>1280</v>
      </c>
      <c r="L325" s="5">
        <f>ShoeSales[[#This Row],[Quantity]]*ShoeSales[[#This Row],[Unit_cost]]</f>
        <v>720</v>
      </c>
      <c r="M325" s="5">
        <f>ShoeSales[[#This Row],[Revenue]]-ShoeSales[[#This Row],[Total_cost]]</f>
        <v>560</v>
      </c>
      <c r="N325" s="11">
        <f>ShoeSales[[#This Row],[Profit]]/ShoeSales[[#This Row],[Revenue]]</f>
        <v>0.4375</v>
      </c>
    </row>
    <row r="326" spans="1:14" ht="14.25" customHeight="1" x14ac:dyDescent="0.25">
      <c r="A326" s="7">
        <v>46124</v>
      </c>
      <c r="B326" s="14" t="s">
        <v>10</v>
      </c>
      <c r="C326" s="15" t="s">
        <v>48</v>
      </c>
      <c r="D326" s="15" t="s">
        <v>38</v>
      </c>
      <c r="E326" s="14" t="str">
        <f ca="1">PROPER(TRIM(CLEAN(ShoeSales[[#This Row],[Brand]])))</f>
        <v>Clarks</v>
      </c>
      <c r="F326" s="15" t="s">
        <v>47</v>
      </c>
      <c r="G326" s="3">
        <v>4</v>
      </c>
      <c r="H326" s="15" t="s">
        <v>32</v>
      </c>
      <c r="I326" s="5">
        <f>VLOOKUP(ShoeSales[[#This Row],[Product]],Price!$A$2:C333,2,)</f>
        <v>105</v>
      </c>
      <c r="J326" s="5">
        <f>VLOOKUP(ShoeSales[[#This Row],[Product]],Price!$A$2:C333,3,)</f>
        <v>58</v>
      </c>
      <c r="K326" s="5">
        <f>ShoeSales[[#This Row],[Quantity]]*ShoeSales[[#This Row],[Unit_price]]</f>
        <v>420</v>
      </c>
      <c r="L326" s="5">
        <f>ShoeSales[[#This Row],[Quantity]]*ShoeSales[[#This Row],[Unit_cost]]</f>
        <v>232</v>
      </c>
      <c r="M326" s="5">
        <f>ShoeSales[[#This Row],[Revenue]]-ShoeSales[[#This Row],[Total_cost]]</f>
        <v>188</v>
      </c>
      <c r="N326" s="11">
        <f>ShoeSales[[#This Row],[Profit]]/ShoeSales[[#This Row],[Revenue]]</f>
        <v>0.44761904761904764</v>
      </c>
    </row>
    <row r="327" spans="1:14" ht="14.25" customHeight="1" x14ac:dyDescent="0.25">
      <c r="A327" s="8">
        <v>46188</v>
      </c>
      <c r="B327" s="14" t="s">
        <v>6</v>
      </c>
      <c r="C327" s="16" t="s">
        <v>27</v>
      </c>
      <c r="D327" s="16" t="s">
        <v>38</v>
      </c>
      <c r="E327" s="14" t="str">
        <f ca="1">PROPER(TRIM(CLEAN(ShoeSales[[#This Row],[Brand]])))</f>
        <v>Zara</v>
      </c>
      <c r="F327" s="16" t="s">
        <v>47</v>
      </c>
      <c r="G327" s="4">
        <v>11</v>
      </c>
      <c r="H327" s="16" t="s">
        <v>45</v>
      </c>
      <c r="I327" s="5">
        <f>VLOOKUP(ShoeSales[[#This Row],[Product]],Price!$A$2:C334,2,)</f>
        <v>54</v>
      </c>
      <c r="J327" s="5">
        <f>VLOOKUP(ShoeSales[[#This Row],[Product]],Price!$A$2:C334,3,)</f>
        <v>28</v>
      </c>
      <c r="K327" s="5">
        <f>ShoeSales[[#This Row],[Quantity]]*ShoeSales[[#This Row],[Unit_price]]</f>
        <v>594</v>
      </c>
      <c r="L327" s="5">
        <f>ShoeSales[[#This Row],[Quantity]]*ShoeSales[[#This Row],[Unit_cost]]</f>
        <v>308</v>
      </c>
      <c r="M327" s="5">
        <f>ShoeSales[[#This Row],[Revenue]]-ShoeSales[[#This Row],[Total_cost]]</f>
        <v>286</v>
      </c>
      <c r="N327" s="11">
        <f>ShoeSales[[#This Row],[Profit]]/ShoeSales[[#This Row],[Revenue]]</f>
        <v>0.48148148148148145</v>
      </c>
    </row>
    <row r="328" spans="1:14" ht="14.25" customHeight="1" x14ac:dyDescent="0.25">
      <c r="A328" s="7">
        <v>46214</v>
      </c>
      <c r="B328" s="14" t="s">
        <v>5</v>
      </c>
      <c r="C328" s="15" t="s">
        <v>48</v>
      </c>
      <c r="D328" s="15" t="s">
        <v>42</v>
      </c>
      <c r="E328" s="14" t="str">
        <f ca="1">PROPER(TRIM(CLEAN(ShoeSales[[#This Row],[Brand]])))</f>
        <v>Zara</v>
      </c>
      <c r="F328" s="15" t="s">
        <v>50</v>
      </c>
      <c r="G328" s="3">
        <v>4</v>
      </c>
      <c r="H328" s="15" t="s">
        <v>30</v>
      </c>
      <c r="I328" s="5">
        <f>VLOOKUP(ShoeSales[[#This Row],[Product]],Price!$A$2:C335,2,)</f>
        <v>89</v>
      </c>
      <c r="J328" s="5">
        <f>VLOOKUP(ShoeSales[[#This Row],[Product]],Price!$A$2:C335,3,)</f>
        <v>47</v>
      </c>
      <c r="K328" s="5">
        <f>ShoeSales[[#This Row],[Quantity]]*ShoeSales[[#This Row],[Unit_price]]</f>
        <v>356</v>
      </c>
      <c r="L328" s="5">
        <f>ShoeSales[[#This Row],[Quantity]]*ShoeSales[[#This Row],[Unit_cost]]</f>
        <v>188</v>
      </c>
      <c r="M328" s="5">
        <f>ShoeSales[[#This Row],[Revenue]]-ShoeSales[[#This Row],[Total_cost]]</f>
        <v>168</v>
      </c>
      <c r="N328" s="11">
        <f>ShoeSales[[#This Row],[Profit]]/ShoeSales[[#This Row],[Revenue]]</f>
        <v>0.47191011235955055</v>
      </c>
    </row>
    <row r="329" spans="1:14" ht="14.25" customHeight="1" x14ac:dyDescent="0.25">
      <c r="A329" s="8">
        <v>46216</v>
      </c>
      <c r="B329" s="14" t="s">
        <v>12</v>
      </c>
      <c r="C329" s="16" t="s">
        <v>48</v>
      </c>
      <c r="D329" s="16" t="s">
        <v>38</v>
      </c>
      <c r="E329" s="14" t="str">
        <f ca="1">PROPER(TRIM(CLEAN(ShoeSales[[#This Row],[Brand]])))</f>
        <v>Nike</v>
      </c>
      <c r="F329" s="16" t="s">
        <v>47</v>
      </c>
      <c r="G329" s="4">
        <v>10</v>
      </c>
      <c r="H329" s="16" t="s">
        <v>41</v>
      </c>
      <c r="I329" s="5">
        <f>VLOOKUP(ShoeSales[[#This Row],[Product]],Price!$A$2:C336,2,)</f>
        <v>112</v>
      </c>
      <c r="J329" s="5">
        <f>VLOOKUP(ShoeSales[[#This Row],[Product]],Price!$A$2:C336,3,)</f>
        <v>64</v>
      </c>
      <c r="K329" s="5">
        <f>ShoeSales[[#This Row],[Quantity]]*ShoeSales[[#This Row],[Unit_price]]</f>
        <v>1120</v>
      </c>
      <c r="L329" s="5">
        <f>ShoeSales[[#This Row],[Quantity]]*ShoeSales[[#This Row],[Unit_cost]]</f>
        <v>640</v>
      </c>
      <c r="M329" s="5">
        <f>ShoeSales[[#This Row],[Revenue]]-ShoeSales[[#This Row],[Total_cost]]</f>
        <v>480</v>
      </c>
      <c r="N329" s="11">
        <f>ShoeSales[[#This Row],[Profit]]/ShoeSales[[#This Row],[Revenue]]</f>
        <v>0.42857142857142855</v>
      </c>
    </row>
    <row r="330" spans="1:14" ht="14.25" customHeight="1" x14ac:dyDescent="0.25">
      <c r="A330" s="7">
        <v>46109</v>
      </c>
      <c r="B330" s="14" t="s">
        <v>7</v>
      </c>
      <c r="C330" s="15" t="s">
        <v>27</v>
      </c>
      <c r="D330" s="15" t="s">
        <v>31</v>
      </c>
      <c r="E330" s="14" t="str">
        <f ca="1">PROPER(TRIM(CLEAN(ShoeSales[[#This Row],[Brand]])))</f>
        <v>Steve Madden</v>
      </c>
      <c r="F330" s="15" t="s">
        <v>47</v>
      </c>
      <c r="G330" s="3">
        <v>3</v>
      </c>
      <c r="H330" s="15" t="s">
        <v>41</v>
      </c>
      <c r="I330" s="5">
        <f>VLOOKUP(ShoeSales[[#This Row],[Product]],Price!$A$2:C337,2,)</f>
        <v>32</v>
      </c>
      <c r="J330" s="5">
        <f>VLOOKUP(ShoeSales[[#This Row],[Product]],Price!$A$2:C337,3,)</f>
        <v>14</v>
      </c>
      <c r="K330" s="5">
        <f>ShoeSales[[#This Row],[Quantity]]*ShoeSales[[#This Row],[Unit_price]]</f>
        <v>96</v>
      </c>
      <c r="L330" s="5">
        <f>ShoeSales[[#This Row],[Quantity]]*ShoeSales[[#This Row],[Unit_cost]]</f>
        <v>42</v>
      </c>
      <c r="M330" s="5">
        <f>ShoeSales[[#This Row],[Revenue]]-ShoeSales[[#This Row],[Total_cost]]</f>
        <v>54</v>
      </c>
      <c r="N330" s="11">
        <f>ShoeSales[[#This Row],[Profit]]/ShoeSales[[#This Row],[Revenue]]</f>
        <v>0.5625</v>
      </c>
    </row>
    <row r="331" spans="1:14" ht="14.25" customHeight="1" x14ac:dyDescent="0.25">
      <c r="A331" s="8">
        <v>46047</v>
      </c>
      <c r="B331" s="14" t="s">
        <v>7</v>
      </c>
      <c r="C331" s="16" t="s">
        <v>27</v>
      </c>
      <c r="D331" s="16" t="s">
        <v>31</v>
      </c>
      <c r="E331" s="14" t="str">
        <f ca="1">PROPER(TRIM(CLEAN(ShoeSales[[#This Row],[Brand]])))</f>
        <v>Clarks</v>
      </c>
      <c r="F331" s="16" t="s">
        <v>39</v>
      </c>
      <c r="G331" s="4">
        <v>5</v>
      </c>
      <c r="H331" s="16" t="s">
        <v>41</v>
      </c>
      <c r="I331" s="5">
        <f>VLOOKUP(ShoeSales[[#This Row],[Product]],Price!$A$2:C338,2,)</f>
        <v>32</v>
      </c>
      <c r="J331" s="5">
        <f>VLOOKUP(ShoeSales[[#This Row],[Product]],Price!$A$2:C338,3,)</f>
        <v>14</v>
      </c>
      <c r="K331" s="5">
        <f>ShoeSales[[#This Row],[Quantity]]*ShoeSales[[#This Row],[Unit_price]]</f>
        <v>160</v>
      </c>
      <c r="L331" s="5">
        <f>ShoeSales[[#This Row],[Quantity]]*ShoeSales[[#This Row],[Unit_cost]]</f>
        <v>70</v>
      </c>
      <c r="M331" s="5">
        <f>ShoeSales[[#This Row],[Revenue]]-ShoeSales[[#This Row],[Total_cost]]</f>
        <v>90</v>
      </c>
      <c r="N331" s="11">
        <f>ShoeSales[[#This Row],[Profit]]/ShoeSales[[#This Row],[Revenue]]</f>
        <v>0.5625</v>
      </c>
    </row>
    <row r="332" spans="1:14" ht="14.25" customHeight="1" x14ac:dyDescent="0.25">
      <c r="A332" s="7">
        <v>46128</v>
      </c>
      <c r="B332" s="14" t="s">
        <v>5</v>
      </c>
      <c r="C332" s="15" t="s">
        <v>27</v>
      </c>
      <c r="D332" s="15" t="s">
        <v>31</v>
      </c>
      <c r="E332" s="14" t="str">
        <f ca="1">PROPER(TRIM(CLEAN(ShoeSales[[#This Row],[Brand]])))</f>
        <v>Nike</v>
      </c>
      <c r="F332" s="15" t="s">
        <v>50</v>
      </c>
      <c r="G332" s="3">
        <v>10</v>
      </c>
      <c r="H332" s="15" t="s">
        <v>45</v>
      </c>
      <c r="I332" s="5">
        <f>VLOOKUP(ShoeSales[[#This Row],[Product]],Price!$A$2:C339,2,)</f>
        <v>89</v>
      </c>
      <c r="J332" s="5">
        <f>VLOOKUP(ShoeSales[[#This Row],[Product]],Price!$A$2:C339,3,)</f>
        <v>47</v>
      </c>
      <c r="K332" s="5">
        <f>ShoeSales[[#This Row],[Quantity]]*ShoeSales[[#This Row],[Unit_price]]</f>
        <v>890</v>
      </c>
      <c r="L332" s="5">
        <f>ShoeSales[[#This Row],[Quantity]]*ShoeSales[[#This Row],[Unit_cost]]</f>
        <v>470</v>
      </c>
      <c r="M332" s="5">
        <f>ShoeSales[[#This Row],[Revenue]]-ShoeSales[[#This Row],[Total_cost]]</f>
        <v>420</v>
      </c>
      <c r="N332" s="11">
        <f>ShoeSales[[#This Row],[Profit]]/ShoeSales[[#This Row],[Revenue]]</f>
        <v>0.47191011235955055</v>
      </c>
    </row>
    <row r="333" spans="1:14" ht="14.25" customHeight="1" x14ac:dyDescent="0.25">
      <c r="A333" s="8">
        <v>46041</v>
      </c>
      <c r="B333" s="14" t="s">
        <v>5</v>
      </c>
      <c r="C333" s="16" t="s">
        <v>27</v>
      </c>
      <c r="D333" s="16" t="s">
        <v>33</v>
      </c>
      <c r="E333" s="14" t="str">
        <f ca="1">PROPER(TRIM(CLEAN(ShoeSales[[#This Row],[Brand]])))</f>
        <v>Clarks</v>
      </c>
      <c r="F333" s="16" t="s">
        <v>51</v>
      </c>
      <c r="G333" s="4">
        <v>5</v>
      </c>
      <c r="H333" s="16" t="s">
        <v>45</v>
      </c>
      <c r="I333" s="5">
        <f>VLOOKUP(ShoeSales[[#This Row],[Product]],Price!$A$2:C340,2,)</f>
        <v>89</v>
      </c>
      <c r="J333" s="5">
        <f>VLOOKUP(ShoeSales[[#This Row],[Product]],Price!$A$2:C340,3,)</f>
        <v>47</v>
      </c>
      <c r="K333" s="5">
        <f>ShoeSales[[#This Row],[Quantity]]*ShoeSales[[#This Row],[Unit_price]]</f>
        <v>445</v>
      </c>
      <c r="L333" s="5">
        <f>ShoeSales[[#This Row],[Quantity]]*ShoeSales[[#This Row],[Unit_cost]]</f>
        <v>235</v>
      </c>
      <c r="M333" s="5">
        <f>ShoeSales[[#This Row],[Revenue]]-ShoeSales[[#This Row],[Total_cost]]</f>
        <v>210</v>
      </c>
      <c r="N333" s="11">
        <f>ShoeSales[[#This Row],[Profit]]/ShoeSales[[#This Row],[Revenue]]</f>
        <v>0.47191011235955055</v>
      </c>
    </row>
    <row r="334" spans="1:14" ht="14.25" customHeight="1" x14ac:dyDescent="0.25">
      <c r="A334" s="7">
        <v>46142</v>
      </c>
      <c r="B334" s="14" t="s">
        <v>9</v>
      </c>
      <c r="C334" s="15" t="s">
        <v>48</v>
      </c>
      <c r="D334" s="15" t="s">
        <v>33</v>
      </c>
      <c r="E334" s="14" t="str">
        <f ca="1">PROPER(TRIM(CLEAN(ShoeSales[[#This Row],[Brand]])))</f>
        <v>Clarks</v>
      </c>
      <c r="F334" s="15" t="s">
        <v>46</v>
      </c>
      <c r="G334" s="3">
        <v>7</v>
      </c>
      <c r="H334" s="15" t="s">
        <v>30</v>
      </c>
      <c r="I334" s="5">
        <f>VLOOKUP(ShoeSales[[#This Row],[Product]],Price!$A$2:C341,2,)</f>
        <v>128</v>
      </c>
      <c r="J334" s="5">
        <f>VLOOKUP(ShoeSales[[#This Row],[Product]],Price!$A$2:C341,3,)</f>
        <v>72</v>
      </c>
      <c r="K334" s="5">
        <f>ShoeSales[[#This Row],[Quantity]]*ShoeSales[[#This Row],[Unit_price]]</f>
        <v>896</v>
      </c>
      <c r="L334" s="5">
        <f>ShoeSales[[#This Row],[Quantity]]*ShoeSales[[#This Row],[Unit_cost]]</f>
        <v>504</v>
      </c>
      <c r="M334" s="5">
        <f>ShoeSales[[#This Row],[Revenue]]-ShoeSales[[#This Row],[Total_cost]]</f>
        <v>392</v>
      </c>
      <c r="N334" s="11">
        <f>ShoeSales[[#This Row],[Profit]]/ShoeSales[[#This Row],[Revenue]]</f>
        <v>0.4375</v>
      </c>
    </row>
    <row r="335" spans="1:14" ht="14.25" customHeight="1" x14ac:dyDescent="0.25">
      <c r="A335" s="8">
        <v>46167</v>
      </c>
      <c r="B335" s="14" t="s">
        <v>5</v>
      </c>
      <c r="C335" s="16" t="s">
        <v>27</v>
      </c>
      <c r="D335" s="16" t="s">
        <v>31</v>
      </c>
      <c r="E335" s="14" t="str">
        <f ca="1">PROPER(TRIM(CLEAN(ShoeSales[[#This Row],[Brand]])))</f>
        <v>Nike</v>
      </c>
      <c r="F335" s="16" t="s">
        <v>40</v>
      </c>
      <c r="G335" s="4">
        <v>5</v>
      </c>
      <c r="H335" s="16" t="s">
        <v>41</v>
      </c>
      <c r="I335" s="5">
        <f>VLOOKUP(ShoeSales[[#This Row],[Product]],Price!$A$2:C342,2,)</f>
        <v>89</v>
      </c>
      <c r="J335" s="5">
        <f>VLOOKUP(ShoeSales[[#This Row],[Product]],Price!$A$2:C342,3,)</f>
        <v>47</v>
      </c>
      <c r="K335" s="5">
        <f>ShoeSales[[#This Row],[Quantity]]*ShoeSales[[#This Row],[Unit_price]]</f>
        <v>445</v>
      </c>
      <c r="L335" s="5">
        <f>ShoeSales[[#This Row],[Quantity]]*ShoeSales[[#This Row],[Unit_cost]]</f>
        <v>235</v>
      </c>
      <c r="M335" s="5">
        <f>ShoeSales[[#This Row],[Revenue]]-ShoeSales[[#This Row],[Total_cost]]</f>
        <v>210</v>
      </c>
      <c r="N335" s="11">
        <f>ShoeSales[[#This Row],[Profit]]/ShoeSales[[#This Row],[Revenue]]</f>
        <v>0.47191011235955055</v>
      </c>
    </row>
    <row r="336" spans="1:14" ht="14.25" customHeight="1" x14ac:dyDescent="0.25">
      <c r="A336" s="7">
        <v>46042</v>
      </c>
      <c r="B336" s="14" t="s">
        <v>7</v>
      </c>
      <c r="C336" s="15" t="s">
        <v>48</v>
      </c>
      <c r="D336" s="15" t="s">
        <v>33</v>
      </c>
      <c r="E336" s="14" t="str">
        <f ca="1">PROPER(TRIM(CLEAN(ShoeSales[[#This Row],[Brand]])))</f>
        <v>Clarks</v>
      </c>
      <c r="F336" s="15" t="s">
        <v>53</v>
      </c>
      <c r="G336" s="3">
        <v>4</v>
      </c>
      <c r="H336" s="15" t="s">
        <v>41</v>
      </c>
      <c r="I336" s="5">
        <f>VLOOKUP(ShoeSales[[#This Row],[Product]],Price!$A$2:C343,2,)</f>
        <v>32</v>
      </c>
      <c r="J336" s="5">
        <f>VLOOKUP(ShoeSales[[#This Row],[Product]],Price!$A$2:C343,3,)</f>
        <v>14</v>
      </c>
      <c r="K336" s="5">
        <f>ShoeSales[[#This Row],[Quantity]]*ShoeSales[[#This Row],[Unit_price]]</f>
        <v>128</v>
      </c>
      <c r="L336" s="5">
        <f>ShoeSales[[#This Row],[Quantity]]*ShoeSales[[#This Row],[Unit_cost]]</f>
        <v>56</v>
      </c>
      <c r="M336" s="5">
        <f>ShoeSales[[#This Row],[Revenue]]-ShoeSales[[#This Row],[Total_cost]]</f>
        <v>72</v>
      </c>
      <c r="N336" s="11">
        <f>ShoeSales[[#This Row],[Profit]]/ShoeSales[[#This Row],[Revenue]]</f>
        <v>0.5625</v>
      </c>
    </row>
    <row r="337" spans="1:14" ht="14.25" customHeight="1" x14ac:dyDescent="0.25">
      <c r="A337" s="8">
        <v>46173</v>
      </c>
      <c r="B337" s="14" t="s">
        <v>6</v>
      </c>
      <c r="C337" s="16" t="s">
        <v>27</v>
      </c>
      <c r="D337" s="16" t="s">
        <v>28</v>
      </c>
      <c r="E337" s="14" t="str">
        <f ca="1">PROPER(TRIM(CLEAN(ShoeSales[[#This Row],[Brand]])))</f>
        <v>Clarks</v>
      </c>
      <c r="F337" s="16" t="s">
        <v>49</v>
      </c>
      <c r="G337" s="4">
        <v>10</v>
      </c>
      <c r="H337" s="16" t="s">
        <v>30</v>
      </c>
      <c r="I337" s="5">
        <f>VLOOKUP(ShoeSales[[#This Row],[Product]],Price!$A$2:C344,2,)</f>
        <v>54</v>
      </c>
      <c r="J337" s="5">
        <f>VLOOKUP(ShoeSales[[#This Row],[Product]],Price!$A$2:C344,3,)</f>
        <v>28</v>
      </c>
      <c r="K337" s="5">
        <f>ShoeSales[[#This Row],[Quantity]]*ShoeSales[[#This Row],[Unit_price]]</f>
        <v>540</v>
      </c>
      <c r="L337" s="5">
        <f>ShoeSales[[#This Row],[Quantity]]*ShoeSales[[#This Row],[Unit_cost]]</f>
        <v>280</v>
      </c>
      <c r="M337" s="5">
        <f>ShoeSales[[#This Row],[Revenue]]-ShoeSales[[#This Row],[Total_cost]]</f>
        <v>260</v>
      </c>
      <c r="N337" s="11">
        <f>ShoeSales[[#This Row],[Profit]]/ShoeSales[[#This Row],[Revenue]]</f>
        <v>0.48148148148148145</v>
      </c>
    </row>
    <row r="338" spans="1:14" ht="14.25" customHeight="1" x14ac:dyDescent="0.25">
      <c r="A338" s="7">
        <v>46030</v>
      </c>
      <c r="B338" s="14" t="s">
        <v>7</v>
      </c>
      <c r="C338" s="15" t="s">
        <v>48</v>
      </c>
      <c r="D338" s="15" t="s">
        <v>33</v>
      </c>
      <c r="E338" s="14" t="str">
        <f ca="1">PROPER(TRIM(CLEAN(ShoeSales[[#This Row],[Brand]])))</f>
        <v>Clarks</v>
      </c>
      <c r="F338" s="15" t="s">
        <v>50</v>
      </c>
      <c r="G338" s="3">
        <v>12</v>
      </c>
      <c r="H338" s="15" t="s">
        <v>32</v>
      </c>
      <c r="I338" s="5">
        <f>VLOOKUP(ShoeSales[[#This Row],[Product]],Price!$A$2:C345,2,)</f>
        <v>32</v>
      </c>
      <c r="J338" s="5">
        <f>VLOOKUP(ShoeSales[[#This Row],[Product]],Price!$A$2:C345,3,)</f>
        <v>14</v>
      </c>
      <c r="K338" s="5">
        <f>ShoeSales[[#This Row],[Quantity]]*ShoeSales[[#This Row],[Unit_price]]</f>
        <v>384</v>
      </c>
      <c r="L338" s="5">
        <f>ShoeSales[[#This Row],[Quantity]]*ShoeSales[[#This Row],[Unit_cost]]</f>
        <v>168</v>
      </c>
      <c r="M338" s="5">
        <f>ShoeSales[[#This Row],[Revenue]]-ShoeSales[[#This Row],[Total_cost]]</f>
        <v>216</v>
      </c>
      <c r="N338" s="11">
        <f>ShoeSales[[#This Row],[Profit]]/ShoeSales[[#This Row],[Revenue]]</f>
        <v>0.5625</v>
      </c>
    </row>
    <row r="339" spans="1:14" ht="14.25" customHeight="1" x14ac:dyDescent="0.25">
      <c r="A339" s="8">
        <v>46157</v>
      </c>
      <c r="B339" s="14" t="s">
        <v>9</v>
      </c>
      <c r="C339" s="16" t="s">
        <v>27</v>
      </c>
      <c r="D339" s="16" t="s">
        <v>28</v>
      </c>
      <c r="E339" s="14" t="str">
        <f ca="1">PROPER(TRIM(CLEAN(ShoeSales[[#This Row],[Brand]])))</f>
        <v>Clarks</v>
      </c>
      <c r="F339" s="16" t="s">
        <v>40</v>
      </c>
      <c r="G339" s="4">
        <v>8</v>
      </c>
      <c r="H339" s="16" t="s">
        <v>30</v>
      </c>
      <c r="I339" s="5">
        <f>VLOOKUP(ShoeSales[[#This Row],[Product]],Price!$A$2:C346,2,)</f>
        <v>128</v>
      </c>
      <c r="J339" s="5">
        <f>VLOOKUP(ShoeSales[[#This Row],[Product]],Price!$A$2:C346,3,)</f>
        <v>72</v>
      </c>
      <c r="K339" s="5">
        <f>ShoeSales[[#This Row],[Quantity]]*ShoeSales[[#This Row],[Unit_price]]</f>
        <v>1024</v>
      </c>
      <c r="L339" s="5">
        <f>ShoeSales[[#This Row],[Quantity]]*ShoeSales[[#This Row],[Unit_cost]]</f>
        <v>576</v>
      </c>
      <c r="M339" s="5">
        <f>ShoeSales[[#This Row],[Revenue]]-ShoeSales[[#This Row],[Total_cost]]</f>
        <v>448</v>
      </c>
      <c r="N339" s="11">
        <f>ShoeSales[[#This Row],[Profit]]/ShoeSales[[#This Row],[Revenue]]</f>
        <v>0.4375</v>
      </c>
    </row>
    <row r="340" spans="1:14" ht="14.25" customHeight="1" x14ac:dyDescent="0.25">
      <c r="A340" s="7">
        <v>46035</v>
      </c>
      <c r="B340" s="14" t="s">
        <v>10</v>
      </c>
      <c r="C340" s="15" t="s">
        <v>27</v>
      </c>
      <c r="D340" s="15" t="s">
        <v>42</v>
      </c>
      <c r="E340" s="14" t="str">
        <f ca="1">PROPER(TRIM(CLEAN(ShoeSales[[#This Row],[Brand]])))</f>
        <v>Timberland</v>
      </c>
      <c r="F340" s="15" t="s">
        <v>29</v>
      </c>
      <c r="G340" s="3">
        <v>4</v>
      </c>
      <c r="H340" s="15" t="s">
        <v>45</v>
      </c>
      <c r="I340" s="5">
        <f>VLOOKUP(ShoeSales[[#This Row],[Product]],Price!$A$2:C347,2,)</f>
        <v>105</v>
      </c>
      <c r="J340" s="5">
        <f>VLOOKUP(ShoeSales[[#This Row],[Product]],Price!$A$2:C347,3,)</f>
        <v>58</v>
      </c>
      <c r="K340" s="5">
        <f>ShoeSales[[#This Row],[Quantity]]*ShoeSales[[#This Row],[Unit_price]]</f>
        <v>420</v>
      </c>
      <c r="L340" s="5">
        <f>ShoeSales[[#This Row],[Quantity]]*ShoeSales[[#This Row],[Unit_cost]]</f>
        <v>232</v>
      </c>
      <c r="M340" s="5">
        <f>ShoeSales[[#This Row],[Revenue]]-ShoeSales[[#This Row],[Total_cost]]</f>
        <v>188</v>
      </c>
      <c r="N340" s="11">
        <f>ShoeSales[[#This Row],[Profit]]/ShoeSales[[#This Row],[Revenue]]</f>
        <v>0.44761904761904764</v>
      </c>
    </row>
    <row r="341" spans="1:14" ht="14.25" customHeight="1" x14ac:dyDescent="0.25">
      <c r="A341" s="8">
        <v>46109</v>
      </c>
      <c r="B341" s="14" t="s">
        <v>9</v>
      </c>
      <c r="C341" s="16" t="s">
        <v>52</v>
      </c>
      <c r="D341" s="16" t="s">
        <v>33</v>
      </c>
      <c r="E341" s="14" t="str">
        <f ca="1">PROPER(TRIM(CLEAN(ShoeSales[[#This Row],[Brand]])))</f>
        <v>Clarks</v>
      </c>
      <c r="F341" s="16" t="s">
        <v>49</v>
      </c>
      <c r="G341" s="4">
        <v>13</v>
      </c>
      <c r="H341" s="16" t="s">
        <v>30</v>
      </c>
      <c r="I341" s="5">
        <f>VLOOKUP(ShoeSales[[#This Row],[Product]],Price!$A$2:C348,2,)</f>
        <v>128</v>
      </c>
      <c r="J341" s="5">
        <f>VLOOKUP(ShoeSales[[#This Row],[Product]],Price!$A$2:C348,3,)</f>
        <v>72</v>
      </c>
      <c r="K341" s="5">
        <f>ShoeSales[[#This Row],[Quantity]]*ShoeSales[[#This Row],[Unit_price]]</f>
        <v>1664</v>
      </c>
      <c r="L341" s="5">
        <f>ShoeSales[[#This Row],[Quantity]]*ShoeSales[[#This Row],[Unit_cost]]</f>
        <v>936</v>
      </c>
      <c r="M341" s="5">
        <f>ShoeSales[[#This Row],[Revenue]]-ShoeSales[[#This Row],[Total_cost]]</f>
        <v>728</v>
      </c>
      <c r="N341" s="11">
        <f>ShoeSales[[#This Row],[Profit]]/ShoeSales[[#This Row],[Revenue]]</f>
        <v>0.4375</v>
      </c>
    </row>
    <row r="342" spans="1:14" ht="14.25" customHeight="1" x14ac:dyDescent="0.25">
      <c r="A342" s="7">
        <v>46219</v>
      </c>
      <c r="B342" s="14" t="s">
        <v>8</v>
      </c>
      <c r="C342" s="15" t="s">
        <v>27</v>
      </c>
      <c r="D342" s="15" t="s">
        <v>42</v>
      </c>
      <c r="E342" s="14" t="str">
        <f ca="1">PROPER(TRIM(CLEAN(ShoeSales[[#This Row],[Brand]])))</f>
        <v>Steve Madden</v>
      </c>
      <c r="F342" s="15" t="s">
        <v>49</v>
      </c>
      <c r="G342" s="3">
        <v>14</v>
      </c>
      <c r="H342" s="15" t="s">
        <v>32</v>
      </c>
      <c r="I342" s="5">
        <f>VLOOKUP(ShoeSales[[#This Row],[Product]],Price!$A$2:C349,2,)</f>
        <v>76</v>
      </c>
      <c r="J342" s="5">
        <f>VLOOKUP(ShoeSales[[#This Row],[Product]],Price!$A$2:C349,3,)</f>
        <v>39</v>
      </c>
      <c r="K342" s="5">
        <f>ShoeSales[[#This Row],[Quantity]]*ShoeSales[[#This Row],[Unit_price]]</f>
        <v>1064</v>
      </c>
      <c r="L342" s="5">
        <f>ShoeSales[[#This Row],[Quantity]]*ShoeSales[[#This Row],[Unit_cost]]</f>
        <v>546</v>
      </c>
      <c r="M342" s="5">
        <f>ShoeSales[[#This Row],[Revenue]]-ShoeSales[[#This Row],[Total_cost]]</f>
        <v>518</v>
      </c>
      <c r="N342" s="11">
        <f>ShoeSales[[#This Row],[Profit]]/ShoeSales[[#This Row],[Revenue]]</f>
        <v>0.48684210526315791</v>
      </c>
    </row>
    <row r="343" spans="1:14" ht="14.25" customHeight="1" x14ac:dyDescent="0.25">
      <c r="A343" s="8">
        <v>46042</v>
      </c>
      <c r="B343" s="14" t="s">
        <v>8</v>
      </c>
      <c r="C343" s="16" t="s">
        <v>37</v>
      </c>
      <c r="D343" s="16" t="s">
        <v>33</v>
      </c>
      <c r="E343" s="14" t="str">
        <f ca="1">PROPER(TRIM(CLEAN(ShoeSales[[#This Row],[Brand]])))</f>
        <v>Timberland</v>
      </c>
      <c r="F343" s="16" t="s">
        <v>35</v>
      </c>
      <c r="G343" s="4">
        <v>1</v>
      </c>
      <c r="H343" s="16" t="s">
        <v>41</v>
      </c>
      <c r="I343" s="5">
        <f>VLOOKUP(ShoeSales[[#This Row],[Product]],Price!$A$2:C350,2,)</f>
        <v>76</v>
      </c>
      <c r="J343" s="5">
        <f>VLOOKUP(ShoeSales[[#This Row],[Product]],Price!$A$2:C350,3,)</f>
        <v>39</v>
      </c>
      <c r="K343" s="5">
        <f>ShoeSales[[#This Row],[Quantity]]*ShoeSales[[#This Row],[Unit_price]]</f>
        <v>76</v>
      </c>
      <c r="L343" s="5">
        <f>ShoeSales[[#This Row],[Quantity]]*ShoeSales[[#This Row],[Unit_cost]]</f>
        <v>39</v>
      </c>
      <c r="M343" s="5">
        <f>ShoeSales[[#This Row],[Revenue]]-ShoeSales[[#This Row],[Total_cost]]</f>
        <v>37</v>
      </c>
      <c r="N343" s="11">
        <f>ShoeSales[[#This Row],[Profit]]/ShoeSales[[#This Row],[Revenue]]</f>
        <v>0.48684210526315791</v>
      </c>
    </row>
    <row r="344" spans="1:14" ht="14.25" customHeight="1" x14ac:dyDescent="0.25">
      <c r="A344" s="7">
        <v>46227</v>
      </c>
      <c r="B344" s="14" t="s">
        <v>12</v>
      </c>
      <c r="C344" s="15" t="s">
        <v>27</v>
      </c>
      <c r="D344" s="15" t="s">
        <v>28</v>
      </c>
      <c r="E344" s="14" t="str">
        <f ca="1">PROPER(TRIM(CLEAN(ShoeSales[[#This Row],[Brand]])))</f>
        <v>Steve Madden</v>
      </c>
      <c r="F344" s="15" t="s">
        <v>46</v>
      </c>
      <c r="G344" s="3">
        <v>15</v>
      </c>
      <c r="H344" s="15" t="s">
        <v>41</v>
      </c>
      <c r="I344" s="5">
        <f>VLOOKUP(ShoeSales[[#This Row],[Product]],Price!$A$2:C351,2,)</f>
        <v>112</v>
      </c>
      <c r="J344" s="5">
        <f>VLOOKUP(ShoeSales[[#This Row],[Product]],Price!$A$2:C351,3,)</f>
        <v>64</v>
      </c>
      <c r="K344" s="5">
        <f>ShoeSales[[#This Row],[Quantity]]*ShoeSales[[#This Row],[Unit_price]]</f>
        <v>1680</v>
      </c>
      <c r="L344" s="5">
        <f>ShoeSales[[#This Row],[Quantity]]*ShoeSales[[#This Row],[Unit_cost]]</f>
        <v>960</v>
      </c>
      <c r="M344" s="5">
        <f>ShoeSales[[#This Row],[Revenue]]-ShoeSales[[#This Row],[Total_cost]]</f>
        <v>720</v>
      </c>
      <c r="N344" s="11">
        <f>ShoeSales[[#This Row],[Profit]]/ShoeSales[[#This Row],[Revenue]]</f>
        <v>0.42857142857142855</v>
      </c>
    </row>
    <row r="345" spans="1:14" ht="14.25" customHeight="1" x14ac:dyDescent="0.25">
      <c r="A345" s="8">
        <v>46180</v>
      </c>
      <c r="B345" s="14" t="s">
        <v>15</v>
      </c>
      <c r="C345" s="16" t="s">
        <v>48</v>
      </c>
      <c r="D345" s="16" t="s">
        <v>33</v>
      </c>
      <c r="E345" s="14" t="str">
        <f ca="1">PROPER(TRIM(CLEAN(ShoeSales[[#This Row],[Brand]])))</f>
        <v>Clarks</v>
      </c>
      <c r="F345" s="16" t="s">
        <v>51</v>
      </c>
      <c r="G345" s="4">
        <v>13</v>
      </c>
      <c r="H345" s="16" t="s">
        <v>30</v>
      </c>
      <c r="I345" s="5">
        <f>VLOOKUP(ShoeSales[[#This Row],[Product]],Price!$A$2:C352,2,)</f>
        <v>119</v>
      </c>
      <c r="J345" s="5">
        <f>VLOOKUP(ShoeSales[[#This Row],[Product]],Price!$A$2:C352,3,)</f>
        <v>67</v>
      </c>
      <c r="K345" s="5">
        <f>ShoeSales[[#This Row],[Quantity]]*ShoeSales[[#This Row],[Unit_price]]</f>
        <v>1547</v>
      </c>
      <c r="L345" s="5">
        <f>ShoeSales[[#This Row],[Quantity]]*ShoeSales[[#This Row],[Unit_cost]]</f>
        <v>871</v>
      </c>
      <c r="M345" s="5">
        <f>ShoeSales[[#This Row],[Revenue]]-ShoeSales[[#This Row],[Total_cost]]</f>
        <v>676</v>
      </c>
      <c r="N345" s="11">
        <f>ShoeSales[[#This Row],[Profit]]/ShoeSales[[#This Row],[Revenue]]</f>
        <v>0.43697478991596639</v>
      </c>
    </row>
    <row r="346" spans="1:14" ht="14.25" customHeight="1" x14ac:dyDescent="0.25">
      <c r="A346" s="7">
        <v>46046</v>
      </c>
      <c r="B346" s="14" t="s">
        <v>9</v>
      </c>
      <c r="C346" s="15" t="s">
        <v>27</v>
      </c>
      <c r="D346" s="15" t="s">
        <v>38</v>
      </c>
      <c r="E346" s="14" t="str">
        <f ca="1">PROPER(TRIM(CLEAN(ShoeSales[[#This Row],[Brand]])))</f>
        <v>Clarks</v>
      </c>
      <c r="F346" s="15" t="s">
        <v>44</v>
      </c>
      <c r="G346" s="3">
        <v>8</v>
      </c>
      <c r="H346" s="15" t="s">
        <v>30</v>
      </c>
      <c r="I346" s="5">
        <f>VLOOKUP(ShoeSales[[#This Row],[Product]],Price!$A$2:C353,2,)</f>
        <v>128</v>
      </c>
      <c r="J346" s="5">
        <f>VLOOKUP(ShoeSales[[#This Row],[Product]],Price!$A$2:C353,3,)</f>
        <v>72</v>
      </c>
      <c r="K346" s="5">
        <f>ShoeSales[[#This Row],[Quantity]]*ShoeSales[[#This Row],[Unit_price]]</f>
        <v>1024</v>
      </c>
      <c r="L346" s="5">
        <f>ShoeSales[[#This Row],[Quantity]]*ShoeSales[[#This Row],[Unit_cost]]</f>
        <v>576</v>
      </c>
      <c r="M346" s="5">
        <f>ShoeSales[[#This Row],[Revenue]]-ShoeSales[[#This Row],[Total_cost]]</f>
        <v>448</v>
      </c>
      <c r="N346" s="11">
        <f>ShoeSales[[#This Row],[Profit]]/ShoeSales[[#This Row],[Revenue]]</f>
        <v>0.4375</v>
      </c>
    </row>
    <row r="347" spans="1:14" ht="14.25" customHeight="1" x14ac:dyDescent="0.25">
      <c r="A347" s="8">
        <v>46078</v>
      </c>
      <c r="B347" s="14" t="s">
        <v>8</v>
      </c>
      <c r="C347" s="16" t="s">
        <v>37</v>
      </c>
      <c r="D347" s="16" t="s">
        <v>33</v>
      </c>
      <c r="E347" s="14" t="str">
        <f ca="1">PROPER(TRIM(CLEAN(ShoeSales[[#This Row],[Brand]])))</f>
        <v>Zara</v>
      </c>
      <c r="F347" s="16" t="s">
        <v>36</v>
      </c>
      <c r="G347" s="4">
        <v>8</v>
      </c>
      <c r="H347" s="16" t="s">
        <v>41</v>
      </c>
      <c r="I347" s="5">
        <f>VLOOKUP(ShoeSales[[#This Row],[Product]],Price!$A$2:C354,2,)</f>
        <v>76</v>
      </c>
      <c r="J347" s="5">
        <f>VLOOKUP(ShoeSales[[#This Row],[Product]],Price!$A$2:C354,3,)</f>
        <v>39</v>
      </c>
      <c r="K347" s="5">
        <f>ShoeSales[[#This Row],[Quantity]]*ShoeSales[[#This Row],[Unit_price]]</f>
        <v>608</v>
      </c>
      <c r="L347" s="5">
        <f>ShoeSales[[#This Row],[Quantity]]*ShoeSales[[#This Row],[Unit_cost]]</f>
        <v>312</v>
      </c>
      <c r="M347" s="5">
        <f>ShoeSales[[#This Row],[Revenue]]-ShoeSales[[#This Row],[Total_cost]]</f>
        <v>296</v>
      </c>
      <c r="N347" s="11">
        <f>ShoeSales[[#This Row],[Profit]]/ShoeSales[[#This Row],[Revenue]]</f>
        <v>0.48684210526315791</v>
      </c>
    </row>
    <row r="348" spans="1:14" ht="14.25" customHeight="1" x14ac:dyDescent="0.25">
      <c r="A348" s="7">
        <v>46142</v>
      </c>
      <c r="B348" s="14" t="s">
        <v>12</v>
      </c>
      <c r="C348" s="15" t="s">
        <v>37</v>
      </c>
      <c r="D348" s="15" t="s">
        <v>31</v>
      </c>
      <c r="E348" s="14" t="str">
        <f ca="1">PROPER(TRIM(CLEAN(ShoeSales[[#This Row],[Brand]])))</f>
        <v>Nike</v>
      </c>
      <c r="F348" s="15" t="s">
        <v>44</v>
      </c>
      <c r="G348" s="3">
        <v>10</v>
      </c>
      <c r="H348" s="15" t="s">
        <v>45</v>
      </c>
      <c r="I348" s="5">
        <f>VLOOKUP(ShoeSales[[#This Row],[Product]],Price!$A$2:C355,2,)</f>
        <v>112</v>
      </c>
      <c r="J348" s="5">
        <f>VLOOKUP(ShoeSales[[#This Row],[Product]],Price!$A$2:C355,3,)</f>
        <v>64</v>
      </c>
      <c r="K348" s="5">
        <f>ShoeSales[[#This Row],[Quantity]]*ShoeSales[[#This Row],[Unit_price]]</f>
        <v>1120</v>
      </c>
      <c r="L348" s="5">
        <f>ShoeSales[[#This Row],[Quantity]]*ShoeSales[[#This Row],[Unit_cost]]</f>
        <v>640</v>
      </c>
      <c r="M348" s="5">
        <f>ShoeSales[[#This Row],[Revenue]]-ShoeSales[[#This Row],[Total_cost]]</f>
        <v>480</v>
      </c>
      <c r="N348" s="11">
        <f>ShoeSales[[#This Row],[Profit]]/ShoeSales[[#This Row],[Revenue]]</f>
        <v>0.42857142857142855</v>
      </c>
    </row>
    <row r="349" spans="1:14" ht="14.25" customHeight="1" x14ac:dyDescent="0.25">
      <c r="A349" s="8">
        <v>46025</v>
      </c>
      <c r="B349" s="14" t="s">
        <v>6</v>
      </c>
      <c r="C349" s="16" t="s">
        <v>48</v>
      </c>
      <c r="D349" s="16" t="s">
        <v>38</v>
      </c>
      <c r="E349" s="14" t="str">
        <f ca="1">PROPER(TRIM(CLEAN(ShoeSales[[#This Row],[Brand]])))</f>
        <v>Clarks</v>
      </c>
      <c r="F349" s="16" t="s">
        <v>29</v>
      </c>
      <c r="G349" s="4">
        <v>14</v>
      </c>
      <c r="H349" s="16" t="s">
        <v>41</v>
      </c>
      <c r="I349" s="5">
        <f>VLOOKUP(ShoeSales[[#This Row],[Product]],Price!$A$2:C356,2,)</f>
        <v>54</v>
      </c>
      <c r="J349" s="5">
        <f>VLOOKUP(ShoeSales[[#This Row],[Product]],Price!$A$2:C356,3,)</f>
        <v>28</v>
      </c>
      <c r="K349" s="5">
        <f>ShoeSales[[#This Row],[Quantity]]*ShoeSales[[#This Row],[Unit_price]]</f>
        <v>756</v>
      </c>
      <c r="L349" s="5">
        <f>ShoeSales[[#This Row],[Quantity]]*ShoeSales[[#This Row],[Unit_cost]]</f>
        <v>392</v>
      </c>
      <c r="M349" s="5">
        <f>ShoeSales[[#This Row],[Revenue]]-ShoeSales[[#This Row],[Total_cost]]</f>
        <v>364</v>
      </c>
      <c r="N349" s="11">
        <f>ShoeSales[[#This Row],[Profit]]/ShoeSales[[#This Row],[Revenue]]</f>
        <v>0.48148148148148145</v>
      </c>
    </row>
    <row r="350" spans="1:14" ht="14.25" customHeight="1" x14ac:dyDescent="0.25">
      <c r="A350" s="7">
        <v>46183</v>
      </c>
      <c r="B350" s="14" t="s">
        <v>6</v>
      </c>
      <c r="C350" s="15" t="s">
        <v>52</v>
      </c>
      <c r="D350" s="15" t="s">
        <v>42</v>
      </c>
      <c r="E350" s="14" t="str">
        <f ca="1">PROPER(TRIM(CLEAN(ShoeSales[[#This Row],[Brand]])))</f>
        <v>Zara</v>
      </c>
      <c r="F350" s="15" t="s">
        <v>53</v>
      </c>
      <c r="G350" s="3">
        <v>1</v>
      </c>
      <c r="H350" s="15" t="s">
        <v>41</v>
      </c>
      <c r="I350" s="5">
        <f>VLOOKUP(ShoeSales[[#This Row],[Product]],Price!$A$2:C357,2,)</f>
        <v>54</v>
      </c>
      <c r="J350" s="5">
        <f>VLOOKUP(ShoeSales[[#This Row],[Product]],Price!$A$2:C357,3,)</f>
        <v>28</v>
      </c>
      <c r="K350" s="5">
        <f>ShoeSales[[#This Row],[Quantity]]*ShoeSales[[#This Row],[Unit_price]]</f>
        <v>54</v>
      </c>
      <c r="L350" s="5">
        <f>ShoeSales[[#This Row],[Quantity]]*ShoeSales[[#This Row],[Unit_cost]]</f>
        <v>28</v>
      </c>
      <c r="M350" s="5">
        <f>ShoeSales[[#This Row],[Revenue]]-ShoeSales[[#This Row],[Total_cost]]</f>
        <v>26</v>
      </c>
      <c r="N350" s="11">
        <f>ShoeSales[[#This Row],[Profit]]/ShoeSales[[#This Row],[Revenue]]</f>
        <v>0.48148148148148145</v>
      </c>
    </row>
    <row r="351" spans="1:14" ht="14.25" customHeight="1" x14ac:dyDescent="0.25">
      <c r="A351" s="8">
        <v>46080</v>
      </c>
      <c r="B351" s="14" t="s">
        <v>5</v>
      </c>
      <c r="C351" s="16" t="s">
        <v>48</v>
      </c>
      <c r="D351" s="16" t="s">
        <v>28</v>
      </c>
      <c r="E351" s="14" t="str">
        <f ca="1">PROPER(TRIM(CLEAN(ShoeSales[[#This Row],[Brand]])))</f>
        <v>Timberland</v>
      </c>
      <c r="F351" s="16" t="s">
        <v>36</v>
      </c>
      <c r="G351" s="4">
        <v>11</v>
      </c>
      <c r="H351" s="16" t="s">
        <v>32</v>
      </c>
      <c r="I351" s="5">
        <f>VLOOKUP(ShoeSales[[#This Row],[Product]],Price!$A$2:C358,2,)</f>
        <v>89</v>
      </c>
      <c r="J351" s="5">
        <f>VLOOKUP(ShoeSales[[#This Row],[Product]],Price!$A$2:C358,3,)</f>
        <v>47</v>
      </c>
      <c r="K351" s="5">
        <f>ShoeSales[[#This Row],[Quantity]]*ShoeSales[[#This Row],[Unit_price]]</f>
        <v>979</v>
      </c>
      <c r="L351" s="5">
        <f>ShoeSales[[#This Row],[Quantity]]*ShoeSales[[#This Row],[Unit_cost]]</f>
        <v>517</v>
      </c>
      <c r="M351" s="5">
        <f>ShoeSales[[#This Row],[Revenue]]-ShoeSales[[#This Row],[Total_cost]]</f>
        <v>462</v>
      </c>
      <c r="N351" s="11">
        <f>ShoeSales[[#This Row],[Profit]]/ShoeSales[[#This Row],[Revenue]]</f>
        <v>0.47191011235955055</v>
      </c>
    </row>
    <row r="352" spans="1:14" ht="14.25" customHeight="1" x14ac:dyDescent="0.25">
      <c r="A352" s="7">
        <v>46201</v>
      </c>
      <c r="B352" s="14" t="s">
        <v>8</v>
      </c>
      <c r="C352" s="15" t="s">
        <v>37</v>
      </c>
      <c r="D352" s="15" t="s">
        <v>38</v>
      </c>
      <c r="E352" s="14" t="str">
        <f ca="1">PROPER(TRIM(CLEAN(ShoeSales[[#This Row],[Brand]])))</f>
        <v>Timberland</v>
      </c>
      <c r="F352" s="15" t="s">
        <v>29</v>
      </c>
      <c r="G352" s="3">
        <v>8</v>
      </c>
      <c r="H352" s="15" t="s">
        <v>32</v>
      </c>
      <c r="I352" s="5">
        <f>VLOOKUP(ShoeSales[[#This Row],[Product]],Price!$A$2:C359,2,)</f>
        <v>76</v>
      </c>
      <c r="J352" s="5">
        <f>VLOOKUP(ShoeSales[[#This Row],[Product]],Price!$A$2:C359,3,)</f>
        <v>39</v>
      </c>
      <c r="K352" s="5">
        <f>ShoeSales[[#This Row],[Quantity]]*ShoeSales[[#This Row],[Unit_price]]</f>
        <v>608</v>
      </c>
      <c r="L352" s="5">
        <f>ShoeSales[[#This Row],[Quantity]]*ShoeSales[[#This Row],[Unit_cost]]</f>
        <v>312</v>
      </c>
      <c r="M352" s="5">
        <f>ShoeSales[[#This Row],[Revenue]]-ShoeSales[[#This Row],[Total_cost]]</f>
        <v>296</v>
      </c>
      <c r="N352" s="11">
        <f>ShoeSales[[#This Row],[Profit]]/ShoeSales[[#This Row],[Revenue]]</f>
        <v>0.48684210526315791</v>
      </c>
    </row>
    <row r="353" spans="1:14" ht="14.25" customHeight="1" x14ac:dyDescent="0.25">
      <c r="A353" s="8">
        <v>46058</v>
      </c>
      <c r="B353" s="14" t="s">
        <v>5</v>
      </c>
      <c r="C353" s="16" t="s">
        <v>37</v>
      </c>
      <c r="D353" s="16" t="s">
        <v>42</v>
      </c>
      <c r="E353" s="14" t="str">
        <f ca="1">PROPER(TRIM(CLEAN(ShoeSales[[#This Row],[Brand]])))</f>
        <v>Clarks</v>
      </c>
      <c r="F353" s="16" t="s">
        <v>46</v>
      </c>
      <c r="G353" s="4">
        <v>13</v>
      </c>
      <c r="H353" s="16" t="s">
        <v>41</v>
      </c>
      <c r="I353" s="5">
        <f>VLOOKUP(ShoeSales[[#This Row],[Product]],Price!$A$2:C360,2,)</f>
        <v>89</v>
      </c>
      <c r="J353" s="5">
        <f>VLOOKUP(ShoeSales[[#This Row],[Product]],Price!$A$2:C360,3,)</f>
        <v>47</v>
      </c>
      <c r="K353" s="5">
        <f>ShoeSales[[#This Row],[Quantity]]*ShoeSales[[#This Row],[Unit_price]]</f>
        <v>1157</v>
      </c>
      <c r="L353" s="5">
        <f>ShoeSales[[#This Row],[Quantity]]*ShoeSales[[#This Row],[Unit_cost]]</f>
        <v>611</v>
      </c>
      <c r="M353" s="5">
        <f>ShoeSales[[#This Row],[Revenue]]-ShoeSales[[#This Row],[Total_cost]]</f>
        <v>546</v>
      </c>
      <c r="N353" s="11">
        <f>ShoeSales[[#This Row],[Profit]]/ShoeSales[[#This Row],[Revenue]]</f>
        <v>0.47191011235955055</v>
      </c>
    </row>
    <row r="354" spans="1:14" ht="14.25" customHeight="1" x14ac:dyDescent="0.25">
      <c r="A354" s="7">
        <v>46129</v>
      </c>
      <c r="B354" s="14" t="s">
        <v>15</v>
      </c>
      <c r="C354" s="15" t="s">
        <v>37</v>
      </c>
      <c r="D354" s="15" t="s">
        <v>28</v>
      </c>
      <c r="E354" s="14" t="str">
        <f ca="1">PROPER(TRIM(CLEAN(ShoeSales[[#This Row],[Brand]])))</f>
        <v>Timberland</v>
      </c>
      <c r="F354" s="15" t="s">
        <v>36</v>
      </c>
      <c r="G354" s="3">
        <v>6</v>
      </c>
      <c r="H354" s="15" t="s">
        <v>30</v>
      </c>
      <c r="I354" s="5">
        <f>VLOOKUP(ShoeSales[[#This Row],[Product]],Price!$A$2:C361,2,)</f>
        <v>119</v>
      </c>
      <c r="J354" s="5">
        <f>VLOOKUP(ShoeSales[[#This Row],[Product]],Price!$A$2:C361,3,)</f>
        <v>67</v>
      </c>
      <c r="K354" s="5">
        <f>ShoeSales[[#This Row],[Quantity]]*ShoeSales[[#This Row],[Unit_price]]</f>
        <v>714</v>
      </c>
      <c r="L354" s="5">
        <f>ShoeSales[[#This Row],[Quantity]]*ShoeSales[[#This Row],[Unit_cost]]</f>
        <v>402</v>
      </c>
      <c r="M354" s="5">
        <f>ShoeSales[[#This Row],[Revenue]]-ShoeSales[[#This Row],[Total_cost]]</f>
        <v>312</v>
      </c>
      <c r="N354" s="11">
        <f>ShoeSales[[#This Row],[Profit]]/ShoeSales[[#This Row],[Revenue]]</f>
        <v>0.43697478991596639</v>
      </c>
    </row>
    <row r="355" spans="1:14" ht="14.25" customHeight="1" x14ac:dyDescent="0.25">
      <c r="A355" s="8">
        <v>46242</v>
      </c>
      <c r="B355" s="14" t="s">
        <v>12</v>
      </c>
      <c r="C355" s="16" t="s">
        <v>52</v>
      </c>
      <c r="D355" s="16" t="s">
        <v>28</v>
      </c>
      <c r="E355" s="14" t="str">
        <f ca="1">PROPER(TRIM(CLEAN(ShoeSales[[#This Row],[Brand]])))</f>
        <v>Zara</v>
      </c>
      <c r="F355" s="16" t="s">
        <v>29</v>
      </c>
      <c r="G355" s="4">
        <v>8</v>
      </c>
      <c r="H355" s="16" t="s">
        <v>30</v>
      </c>
      <c r="I355" s="5">
        <f>VLOOKUP(ShoeSales[[#This Row],[Product]],Price!$A$2:C362,2,)</f>
        <v>112</v>
      </c>
      <c r="J355" s="5">
        <f>VLOOKUP(ShoeSales[[#This Row],[Product]],Price!$A$2:C362,3,)</f>
        <v>64</v>
      </c>
      <c r="K355" s="5">
        <f>ShoeSales[[#This Row],[Quantity]]*ShoeSales[[#This Row],[Unit_price]]</f>
        <v>896</v>
      </c>
      <c r="L355" s="5">
        <f>ShoeSales[[#This Row],[Quantity]]*ShoeSales[[#This Row],[Unit_cost]]</f>
        <v>512</v>
      </c>
      <c r="M355" s="5">
        <f>ShoeSales[[#This Row],[Revenue]]-ShoeSales[[#This Row],[Total_cost]]</f>
        <v>384</v>
      </c>
      <c r="N355" s="11">
        <f>ShoeSales[[#This Row],[Profit]]/ShoeSales[[#This Row],[Revenue]]</f>
        <v>0.42857142857142855</v>
      </c>
    </row>
    <row r="356" spans="1:14" ht="14.25" customHeight="1" x14ac:dyDescent="0.25">
      <c r="A356" s="7">
        <v>46034</v>
      </c>
      <c r="B356" s="14" t="s">
        <v>6</v>
      </c>
      <c r="C356" s="15" t="s">
        <v>27</v>
      </c>
      <c r="D356" s="15" t="s">
        <v>38</v>
      </c>
      <c r="E356" s="14" t="str">
        <f ca="1">PROPER(TRIM(CLEAN(ShoeSales[[#This Row],[Brand]])))</f>
        <v>Nike</v>
      </c>
      <c r="F356" s="15" t="s">
        <v>40</v>
      </c>
      <c r="G356" s="3">
        <v>13</v>
      </c>
      <c r="H356" s="15" t="s">
        <v>45</v>
      </c>
      <c r="I356" s="5">
        <f>VLOOKUP(ShoeSales[[#This Row],[Product]],Price!$A$2:C363,2,)</f>
        <v>54</v>
      </c>
      <c r="J356" s="5">
        <f>VLOOKUP(ShoeSales[[#This Row],[Product]],Price!$A$2:C363,3,)</f>
        <v>28</v>
      </c>
      <c r="K356" s="5">
        <f>ShoeSales[[#This Row],[Quantity]]*ShoeSales[[#This Row],[Unit_price]]</f>
        <v>702</v>
      </c>
      <c r="L356" s="5">
        <f>ShoeSales[[#This Row],[Quantity]]*ShoeSales[[#This Row],[Unit_cost]]</f>
        <v>364</v>
      </c>
      <c r="M356" s="5">
        <f>ShoeSales[[#This Row],[Revenue]]-ShoeSales[[#This Row],[Total_cost]]</f>
        <v>338</v>
      </c>
      <c r="N356" s="11">
        <f>ShoeSales[[#This Row],[Profit]]/ShoeSales[[#This Row],[Revenue]]</f>
        <v>0.48148148148148145</v>
      </c>
    </row>
    <row r="357" spans="1:14" ht="14.25" customHeight="1" x14ac:dyDescent="0.25">
      <c r="A357" s="8">
        <v>46218</v>
      </c>
      <c r="B357" s="14" t="s">
        <v>5</v>
      </c>
      <c r="C357" s="16" t="s">
        <v>27</v>
      </c>
      <c r="D357" s="16" t="s">
        <v>42</v>
      </c>
      <c r="E357" s="14" t="str">
        <f ca="1">PROPER(TRIM(CLEAN(ShoeSales[[#This Row],[Brand]])))</f>
        <v>Zara</v>
      </c>
      <c r="F357" s="16" t="s">
        <v>43</v>
      </c>
      <c r="G357" s="4">
        <v>6</v>
      </c>
      <c r="H357" s="16" t="s">
        <v>30</v>
      </c>
      <c r="I357" s="5">
        <f>VLOOKUP(ShoeSales[[#This Row],[Product]],Price!$A$2:C364,2,)</f>
        <v>89</v>
      </c>
      <c r="J357" s="5">
        <f>VLOOKUP(ShoeSales[[#This Row],[Product]],Price!$A$2:C364,3,)</f>
        <v>47</v>
      </c>
      <c r="K357" s="5">
        <f>ShoeSales[[#This Row],[Quantity]]*ShoeSales[[#This Row],[Unit_price]]</f>
        <v>534</v>
      </c>
      <c r="L357" s="5">
        <f>ShoeSales[[#This Row],[Quantity]]*ShoeSales[[#This Row],[Unit_cost]]</f>
        <v>282</v>
      </c>
      <c r="M357" s="5">
        <f>ShoeSales[[#This Row],[Revenue]]-ShoeSales[[#This Row],[Total_cost]]</f>
        <v>252</v>
      </c>
      <c r="N357" s="11">
        <f>ShoeSales[[#This Row],[Profit]]/ShoeSales[[#This Row],[Revenue]]</f>
        <v>0.47191011235955055</v>
      </c>
    </row>
    <row r="358" spans="1:14" ht="14.25" customHeight="1" x14ac:dyDescent="0.25">
      <c r="A358" s="7">
        <v>46126</v>
      </c>
      <c r="B358" s="14" t="s">
        <v>10</v>
      </c>
      <c r="C358" s="15" t="s">
        <v>27</v>
      </c>
      <c r="D358" s="15" t="s">
        <v>42</v>
      </c>
      <c r="E358" s="14" t="str">
        <f ca="1">PROPER(TRIM(CLEAN(ShoeSales[[#This Row],[Brand]])))</f>
        <v>Nike</v>
      </c>
      <c r="F358" s="15" t="s">
        <v>49</v>
      </c>
      <c r="G358" s="3">
        <v>5</v>
      </c>
      <c r="H358" s="15" t="s">
        <v>45</v>
      </c>
      <c r="I358" s="5">
        <f>VLOOKUP(ShoeSales[[#This Row],[Product]],Price!$A$2:C365,2,)</f>
        <v>105</v>
      </c>
      <c r="J358" s="5">
        <f>VLOOKUP(ShoeSales[[#This Row],[Product]],Price!$A$2:C365,3,)</f>
        <v>58</v>
      </c>
      <c r="K358" s="5">
        <f>ShoeSales[[#This Row],[Quantity]]*ShoeSales[[#This Row],[Unit_price]]</f>
        <v>525</v>
      </c>
      <c r="L358" s="5">
        <f>ShoeSales[[#This Row],[Quantity]]*ShoeSales[[#This Row],[Unit_cost]]</f>
        <v>290</v>
      </c>
      <c r="M358" s="5">
        <f>ShoeSales[[#This Row],[Revenue]]-ShoeSales[[#This Row],[Total_cost]]</f>
        <v>235</v>
      </c>
      <c r="N358" s="11">
        <f>ShoeSales[[#This Row],[Profit]]/ShoeSales[[#This Row],[Revenue]]</f>
        <v>0.44761904761904764</v>
      </c>
    </row>
    <row r="359" spans="1:14" ht="14.25" customHeight="1" x14ac:dyDescent="0.25">
      <c r="A359" s="8">
        <v>46204</v>
      </c>
      <c r="B359" s="14" t="s">
        <v>7</v>
      </c>
      <c r="C359" s="16" t="s">
        <v>52</v>
      </c>
      <c r="D359" s="16" t="s">
        <v>31</v>
      </c>
      <c r="E359" s="14" t="str">
        <f ca="1">PROPER(TRIM(CLEAN(ShoeSales[[#This Row],[Brand]])))</f>
        <v>Nike</v>
      </c>
      <c r="F359" s="16" t="s">
        <v>50</v>
      </c>
      <c r="G359" s="4">
        <v>4</v>
      </c>
      <c r="H359" s="16" t="s">
        <v>45</v>
      </c>
      <c r="I359" s="5">
        <f>VLOOKUP(ShoeSales[[#This Row],[Product]],Price!$A$2:C366,2,)</f>
        <v>32</v>
      </c>
      <c r="J359" s="5">
        <f>VLOOKUP(ShoeSales[[#This Row],[Product]],Price!$A$2:C366,3,)</f>
        <v>14</v>
      </c>
      <c r="K359" s="5">
        <f>ShoeSales[[#This Row],[Quantity]]*ShoeSales[[#This Row],[Unit_price]]</f>
        <v>128</v>
      </c>
      <c r="L359" s="5">
        <f>ShoeSales[[#This Row],[Quantity]]*ShoeSales[[#This Row],[Unit_cost]]</f>
        <v>56</v>
      </c>
      <c r="M359" s="5">
        <f>ShoeSales[[#This Row],[Revenue]]-ShoeSales[[#This Row],[Total_cost]]</f>
        <v>72</v>
      </c>
      <c r="N359" s="11">
        <f>ShoeSales[[#This Row],[Profit]]/ShoeSales[[#This Row],[Revenue]]</f>
        <v>0.5625</v>
      </c>
    </row>
    <row r="360" spans="1:14" ht="14.25" customHeight="1" x14ac:dyDescent="0.25">
      <c r="A360" s="7">
        <v>46159</v>
      </c>
      <c r="B360" s="14" t="s">
        <v>5</v>
      </c>
      <c r="C360" s="15" t="s">
        <v>37</v>
      </c>
      <c r="D360" s="15" t="s">
        <v>33</v>
      </c>
      <c r="E360" s="14" t="str">
        <f ca="1">PROPER(TRIM(CLEAN(ShoeSales[[#This Row],[Brand]])))</f>
        <v>Clarks</v>
      </c>
      <c r="F360" s="15" t="s">
        <v>43</v>
      </c>
      <c r="G360" s="3">
        <v>3</v>
      </c>
      <c r="H360" s="15" t="s">
        <v>30</v>
      </c>
      <c r="I360" s="5">
        <f>VLOOKUP(ShoeSales[[#This Row],[Product]],Price!$A$2:C367,2,)</f>
        <v>89</v>
      </c>
      <c r="J360" s="5">
        <f>VLOOKUP(ShoeSales[[#This Row],[Product]],Price!$A$2:C367,3,)</f>
        <v>47</v>
      </c>
      <c r="K360" s="5">
        <f>ShoeSales[[#This Row],[Quantity]]*ShoeSales[[#This Row],[Unit_price]]</f>
        <v>267</v>
      </c>
      <c r="L360" s="5">
        <f>ShoeSales[[#This Row],[Quantity]]*ShoeSales[[#This Row],[Unit_cost]]</f>
        <v>141</v>
      </c>
      <c r="M360" s="5">
        <f>ShoeSales[[#This Row],[Revenue]]-ShoeSales[[#This Row],[Total_cost]]</f>
        <v>126</v>
      </c>
      <c r="N360" s="11">
        <f>ShoeSales[[#This Row],[Profit]]/ShoeSales[[#This Row],[Revenue]]</f>
        <v>0.47191011235955055</v>
      </c>
    </row>
    <row r="361" spans="1:14" ht="14.25" customHeight="1" x14ac:dyDescent="0.25">
      <c r="A361" s="8">
        <v>46130</v>
      </c>
      <c r="B361" s="14" t="s">
        <v>15</v>
      </c>
      <c r="C361" s="16" t="s">
        <v>27</v>
      </c>
      <c r="D361" s="16" t="s">
        <v>38</v>
      </c>
      <c r="E361" s="14" t="str">
        <f ca="1">PROPER(TRIM(CLEAN(ShoeSales[[#This Row],[Brand]])))</f>
        <v>Clarks</v>
      </c>
      <c r="F361" s="16" t="s">
        <v>40</v>
      </c>
      <c r="G361" s="4">
        <v>5</v>
      </c>
      <c r="H361" s="16" t="s">
        <v>32</v>
      </c>
      <c r="I361" s="5">
        <f>VLOOKUP(ShoeSales[[#This Row],[Product]],Price!$A$2:C368,2,)</f>
        <v>119</v>
      </c>
      <c r="J361" s="5">
        <f>VLOOKUP(ShoeSales[[#This Row],[Product]],Price!$A$2:C368,3,)</f>
        <v>67</v>
      </c>
      <c r="K361" s="5">
        <f>ShoeSales[[#This Row],[Quantity]]*ShoeSales[[#This Row],[Unit_price]]</f>
        <v>595</v>
      </c>
      <c r="L361" s="5">
        <f>ShoeSales[[#This Row],[Quantity]]*ShoeSales[[#This Row],[Unit_cost]]</f>
        <v>335</v>
      </c>
      <c r="M361" s="5">
        <f>ShoeSales[[#This Row],[Revenue]]-ShoeSales[[#This Row],[Total_cost]]</f>
        <v>260</v>
      </c>
      <c r="N361" s="11">
        <f>ShoeSales[[#This Row],[Profit]]/ShoeSales[[#This Row],[Revenue]]</f>
        <v>0.43697478991596639</v>
      </c>
    </row>
    <row r="362" spans="1:14" ht="14.25" customHeight="1" x14ac:dyDescent="0.25">
      <c r="A362" s="7">
        <v>46224</v>
      </c>
      <c r="B362" s="14" t="s">
        <v>7</v>
      </c>
      <c r="C362" s="15" t="s">
        <v>27</v>
      </c>
      <c r="D362" s="15" t="s">
        <v>33</v>
      </c>
      <c r="E362" s="14" t="str">
        <f ca="1">PROPER(TRIM(CLEAN(ShoeSales[[#This Row],[Brand]])))</f>
        <v>Zara</v>
      </c>
      <c r="F362" s="15" t="s">
        <v>39</v>
      </c>
      <c r="G362" s="3">
        <v>4</v>
      </c>
      <c r="H362" s="15" t="s">
        <v>32</v>
      </c>
      <c r="I362" s="5">
        <f>VLOOKUP(ShoeSales[[#This Row],[Product]],Price!$A$2:C369,2,)</f>
        <v>32</v>
      </c>
      <c r="J362" s="5">
        <f>VLOOKUP(ShoeSales[[#This Row],[Product]],Price!$A$2:C369,3,)</f>
        <v>14</v>
      </c>
      <c r="K362" s="5">
        <f>ShoeSales[[#This Row],[Quantity]]*ShoeSales[[#This Row],[Unit_price]]</f>
        <v>128</v>
      </c>
      <c r="L362" s="5">
        <f>ShoeSales[[#This Row],[Quantity]]*ShoeSales[[#This Row],[Unit_cost]]</f>
        <v>56</v>
      </c>
      <c r="M362" s="5">
        <f>ShoeSales[[#This Row],[Revenue]]-ShoeSales[[#This Row],[Total_cost]]</f>
        <v>72</v>
      </c>
      <c r="N362" s="11">
        <f>ShoeSales[[#This Row],[Profit]]/ShoeSales[[#This Row],[Revenue]]</f>
        <v>0.5625</v>
      </c>
    </row>
    <row r="363" spans="1:14" ht="14.25" customHeight="1" x14ac:dyDescent="0.25">
      <c r="A363" s="8">
        <v>46242</v>
      </c>
      <c r="B363" s="14" t="s">
        <v>7</v>
      </c>
      <c r="C363" s="16" t="s">
        <v>48</v>
      </c>
      <c r="D363" s="16" t="s">
        <v>42</v>
      </c>
      <c r="E363" s="14" t="str">
        <f ca="1">PROPER(TRIM(CLEAN(ShoeSales[[#This Row],[Brand]])))</f>
        <v>Clarks</v>
      </c>
      <c r="F363" s="16" t="s">
        <v>40</v>
      </c>
      <c r="G363" s="4">
        <v>7</v>
      </c>
      <c r="H363" s="16" t="s">
        <v>32</v>
      </c>
      <c r="I363" s="5">
        <f>VLOOKUP(ShoeSales[[#This Row],[Product]],Price!$A$2:C370,2,)</f>
        <v>32</v>
      </c>
      <c r="J363" s="5">
        <f>VLOOKUP(ShoeSales[[#This Row],[Product]],Price!$A$2:C370,3,)</f>
        <v>14</v>
      </c>
      <c r="K363" s="5">
        <f>ShoeSales[[#This Row],[Quantity]]*ShoeSales[[#This Row],[Unit_price]]</f>
        <v>224</v>
      </c>
      <c r="L363" s="5">
        <f>ShoeSales[[#This Row],[Quantity]]*ShoeSales[[#This Row],[Unit_cost]]</f>
        <v>98</v>
      </c>
      <c r="M363" s="5">
        <f>ShoeSales[[#This Row],[Revenue]]-ShoeSales[[#This Row],[Total_cost]]</f>
        <v>126</v>
      </c>
      <c r="N363" s="11">
        <f>ShoeSales[[#This Row],[Profit]]/ShoeSales[[#This Row],[Revenue]]</f>
        <v>0.5625</v>
      </c>
    </row>
    <row r="364" spans="1:14" ht="14.25" customHeight="1" x14ac:dyDescent="0.25">
      <c r="A364" s="7">
        <v>46114</v>
      </c>
      <c r="B364" s="14" t="s">
        <v>6</v>
      </c>
      <c r="C364" s="15" t="s">
        <v>37</v>
      </c>
      <c r="D364" s="15" t="s">
        <v>33</v>
      </c>
      <c r="E364" s="14" t="str">
        <f ca="1">PROPER(TRIM(CLEAN(ShoeSales[[#This Row],[Brand]])))</f>
        <v>Clarks</v>
      </c>
      <c r="F364" s="15" t="s">
        <v>40</v>
      </c>
      <c r="G364" s="3">
        <v>6</v>
      </c>
      <c r="H364" s="15" t="s">
        <v>32</v>
      </c>
      <c r="I364" s="5">
        <f>VLOOKUP(ShoeSales[[#This Row],[Product]],Price!$A$2:C371,2,)</f>
        <v>54</v>
      </c>
      <c r="J364" s="5">
        <f>VLOOKUP(ShoeSales[[#This Row],[Product]],Price!$A$2:C371,3,)</f>
        <v>28</v>
      </c>
      <c r="K364" s="5">
        <f>ShoeSales[[#This Row],[Quantity]]*ShoeSales[[#This Row],[Unit_price]]</f>
        <v>324</v>
      </c>
      <c r="L364" s="5">
        <f>ShoeSales[[#This Row],[Quantity]]*ShoeSales[[#This Row],[Unit_cost]]</f>
        <v>168</v>
      </c>
      <c r="M364" s="5">
        <f>ShoeSales[[#This Row],[Revenue]]-ShoeSales[[#This Row],[Total_cost]]</f>
        <v>156</v>
      </c>
      <c r="N364" s="11">
        <f>ShoeSales[[#This Row],[Profit]]/ShoeSales[[#This Row],[Revenue]]</f>
        <v>0.48148148148148145</v>
      </c>
    </row>
    <row r="365" spans="1:14" ht="14.25" customHeight="1" x14ac:dyDescent="0.25">
      <c r="A365" s="8">
        <v>46231</v>
      </c>
      <c r="B365" s="14" t="s">
        <v>7</v>
      </c>
      <c r="C365" s="16" t="s">
        <v>27</v>
      </c>
      <c r="D365" s="16" t="s">
        <v>42</v>
      </c>
      <c r="E365" s="14" t="str">
        <f ca="1">PROPER(TRIM(CLEAN(ShoeSales[[#This Row],[Brand]])))</f>
        <v>Zara</v>
      </c>
      <c r="F365" s="16" t="s">
        <v>44</v>
      </c>
      <c r="G365" s="4">
        <v>7</v>
      </c>
      <c r="H365" s="16" t="s">
        <v>41</v>
      </c>
      <c r="I365" s="5">
        <f>VLOOKUP(ShoeSales[[#This Row],[Product]],Price!$A$2:C372,2,)</f>
        <v>32</v>
      </c>
      <c r="J365" s="5">
        <f>VLOOKUP(ShoeSales[[#This Row],[Product]],Price!$A$2:C372,3,)</f>
        <v>14</v>
      </c>
      <c r="K365" s="5">
        <f>ShoeSales[[#This Row],[Quantity]]*ShoeSales[[#This Row],[Unit_price]]</f>
        <v>224</v>
      </c>
      <c r="L365" s="5">
        <f>ShoeSales[[#This Row],[Quantity]]*ShoeSales[[#This Row],[Unit_cost]]</f>
        <v>98</v>
      </c>
      <c r="M365" s="5">
        <f>ShoeSales[[#This Row],[Revenue]]-ShoeSales[[#This Row],[Total_cost]]</f>
        <v>126</v>
      </c>
      <c r="N365" s="11">
        <f>ShoeSales[[#This Row],[Profit]]/ShoeSales[[#This Row],[Revenue]]</f>
        <v>0.5625</v>
      </c>
    </row>
    <row r="366" spans="1:14" ht="14.25" customHeight="1" x14ac:dyDescent="0.25">
      <c r="A366" s="7">
        <v>46087</v>
      </c>
      <c r="B366" s="14" t="s">
        <v>6</v>
      </c>
      <c r="C366" s="15" t="s">
        <v>27</v>
      </c>
      <c r="D366" s="15" t="s">
        <v>38</v>
      </c>
      <c r="E366" s="14" t="str">
        <f ca="1">PROPER(TRIM(CLEAN(ShoeSales[[#This Row],[Brand]])))</f>
        <v>Steve Madden</v>
      </c>
      <c r="F366" s="15" t="s">
        <v>46</v>
      </c>
      <c r="G366" s="3">
        <v>12</v>
      </c>
      <c r="H366" s="15" t="s">
        <v>30</v>
      </c>
      <c r="I366" s="5">
        <f>VLOOKUP(ShoeSales[[#This Row],[Product]],Price!$A$2:C373,2,)</f>
        <v>54</v>
      </c>
      <c r="J366" s="5">
        <f>VLOOKUP(ShoeSales[[#This Row],[Product]],Price!$A$2:C373,3,)</f>
        <v>28</v>
      </c>
      <c r="K366" s="5">
        <f>ShoeSales[[#This Row],[Quantity]]*ShoeSales[[#This Row],[Unit_price]]</f>
        <v>648</v>
      </c>
      <c r="L366" s="5">
        <f>ShoeSales[[#This Row],[Quantity]]*ShoeSales[[#This Row],[Unit_cost]]</f>
        <v>336</v>
      </c>
      <c r="M366" s="5">
        <f>ShoeSales[[#This Row],[Revenue]]-ShoeSales[[#This Row],[Total_cost]]</f>
        <v>312</v>
      </c>
      <c r="N366" s="11">
        <f>ShoeSales[[#This Row],[Profit]]/ShoeSales[[#This Row],[Revenue]]</f>
        <v>0.48148148148148145</v>
      </c>
    </row>
    <row r="367" spans="1:14" ht="14.25" customHeight="1" x14ac:dyDescent="0.25">
      <c r="A367" s="8">
        <v>46228</v>
      </c>
      <c r="B367" s="14" t="s">
        <v>15</v>
      </c>
      <c r="C367" s="16" t="s">
        <v>48</v>
      </c>
      <c r="D367" s="16" t="s">
        <v>33</v>
      </c>
      <c r="E367" s="14" t="str">
        <f ca="1">PROPER(TRIM(CLEAN(ShoeSales[[#This Row],[Brand]])))</f>
        <v>Zara</v>
      </c>
      <c r="F367" s="16" t="s">
        <v>46</v>
      </c>
      <c r="G367" s="4">
        <v>10</v>
      </c>
      <c r="H367" s="16" t="s">
        <v>45</v>
      </c>
      <c r="I367" s="5">
        <f>VLOOKUP(ShoeSales[[#This Row],[Product]],Price!$A$2:C374,2,)</f>
        <v>119</v>
      </c>
      <c r="J367" s="5">
        <f>VLOOKUP(ShoeSales[[#This Row],[Product]],Price!$A$2:C374,3,)</f>
        <v>67</v>
      </c>
      <c r="K367" s="5">
        <f>ShoeSales[[#This Row],[Quantity]]*ShoeSales[[#This Row],[Unit_price]]</f>
        <v>1190</v>
      </c>
      <c r="L367" s="5">
        <f>ShoeSales[[#This Row],[Quantity]]*ShoeSales[[#This Row],[Unit_cost]]</f>
        <v>670</v>
      </c>
      <c r="M367" s="5">
        <f>ShoeSales[[#This Row],[Revenue]]-ShoeSales[[#This Row],[Total_cost]]</f>
        <v>520</v>
      </c>
      <c r="N367" s="11">
        <f>ShoeSales[[#This Row],[Profit]]/ShoeSales[[#This Row],[Revenue]]</f>
        <v>0.43697478991596639</v>
      </c>
    </row>
    <row r="368" spans="1:14" ht="14.25" customHeight="1" x14ac:dyDescent="0.25">
      <c r="A368" s="7">
        <v>46223</v>
      </c>
      <c r="B368" s="14" t="s">
        <v>6</v>
      </c>
      <c r="C368" s="15" t="s">
        <v>27</v>
      </c>
      <c r="D368" s="15" t="s">
        <v>42</v>
      </c>
      <c r="E368" s="14" t="str">
        <f ca="1">PROPER(TRIM(CLEAN(ShoeSales[[#This Row],[Brand]])))</f>
        <v>Clarks</v>
      </c>
      <c r="F368" s="15" t="s">
        <v>36</v>
      </c>
      <c r="G368" s="3">
        <v>6</v>
      </c>
      <c r="H368" s="15" t="s">
        <v>32</v>
      </c>
      <c r="I368" s="5">
        <f>VLOOKUP(ShoeSales[[#This Row],[Product]],Price!$A$2:C375,2,)</f>
        <v>54</v>
      </c>
      <c r="J368" s="5">
        <f>VLOOKUP(ShoeSales[[#This Row],[Product]],Price!$A$2:C375,3,)</f>
        <v>28</v>
      </c>
      <c r="K368" s="5">
        <f>ShoeSales[[#This Row],[Quantity]]*ShoeSales[[#This Row],[Unit_price]]</f>
        <v>324</v>
      </c>
      <c r="L368" s="5">
        <f>ShoeSales[[#This Row],[Quantity]]*ShoeSales[[#This Row],[Unit_cost]]</f>
        <v>168</v>
      </c>
      <c r="M368" s="5">
        <f>ShoeSales[[#This Row],[Revenue]]-ShoeSales[[#This Row],[Total_cost]]</f>
        <v>156</v>
      </c>
      <c r="N368" s="11">
        <f>ShoeSales[[#This Row],[Profit]]/ShoeSales[[#This Row],[Revenue]]</f>
        <v>0.48148148148148145</v>
      </c>
    </row>
    <row r="369" spans="1:14" ht="14.25" customHeight="1" x14ac:dyDescent="0.25">
      <c r="A369" s="8">
        <v>46106</v>
      </c>
      <c r="B369" s="14" t="s">
        <v>7</v>
      </c>
      <c r="C369" s="16" t="s">
        <v>27</v>
      </c>
      <c r="D369" s="16" t="s">
        <v>38</v>
      </c>
      <c r="E369" s="14" t="str">
        <f ca="1">PROPER(TRIM(CLEAN(ShoeSales[[#This Row],[Brand]])))</f>
        <v>Timberland</v>
      </c>
      <c r="F369" s="16" t="s">
        <v>36</v>
      </c>
      <c r="G369" s="4">
        <v>15</v>
      </c>
      <c r="H369" s="16" t="s">
        <v>41</v>
      </c>
      <c r="I369" s="5">
        <f>VLOOKUP(ShoeSales[[#This Row],[Product]],Price!$A$2:C376,2,)</f>
        <v>32</v>
      </c>
      <c r="J369" s="5">
        <f>VLOOKUP(ShoeSales[[#This Row],[Product]],Price!$A$2:C376,3,)</f>
        <v>14</v>
      </c>
      <c r="K369" s="5">
        <f>ShoeSales[[#This Row],[Quantity]]*ShoeSales[[#This Row],[Unit_price]]</f>
        <v>480</v>
      </c>
      <c r="L369" s="5">
        <f>ShoeSales[[#This Row],[Quantity]]*ShoeSales[[#This Row],[Unit_cost]]</f>
        <v>210</v>
      </c>
      <c r="M369" s="5">
        <f>ShoeSales[[#This Row],[Revenue]]-ShoeSales[[#This Row],[Total_cost]]</f>
        <v>270</v>
      </c>
      <c r="N369" s="11">
        <f>ShoeSales[[#This Row],[Profit]]/ShoeSales[[#This Row],[Revenue]]</f>
        <v>0.5625</v>
      </c>
    </row>
    <row r="370" spans="1:14" ht="14.25" customHeight="1" x14ac:dyDescent="0.25">
      <c r="A370" s="7">
        <v>46050</v>
      </c>
      <c r="B370" s="14" t="s">
        <v>9</v>
      </c>
      <c r="C370" s="15" t="s">
        <v>27</v>
      </c>
      <c r="D370" s="15" t="s">
        <v>28</v>
      </c>
      <c r="E370" s="14" t="str">
        <f ca="1">PROPER(TRIM(CLEAN(ShoeSales[[#This Row],[Brand]])))</f>
        <v>Steve Madden</v>
      </c>
      <c r="F370" s="15" t="s">
        <v>50</v>
      </c>
      <c r="G370" s="3">
        <v>3</v>
      </c>
      <c r="H370" s="15" t="s">
        <v>45</v>
      </c>
      <c r="I370" s="5">
        <f>VLOOKUP(ShoeSales[[#This Row],[Product]],Price!$A$2:C377,2,)</f>
        <v>128</v>
      </c>
      <c r="J370" s="5">
        <f>VLOOKUP(ShoeSales[[#This Row],[Product]],Price!$A$2:C377,3,)</f>
        <v>72</v>
      </c>
      <c r="K370" s="5">
        <f>ShoeSales[[#This Row],[Quantity]]*ShoeSales[[#This Row],[Unit_price]]</f>
        <v>384</v>
      </c>
      <c r="L370" s="5">
        <f>ShoeSales[[#This Row],[Quantity]]*ShoeSales[[#This Row],[Unit_cost]]</f>
        <v>216</v>
      </c>
      <c r="M370" s="5">
        <f>ShoeSales[[#This Row],[Revenue]]-ShoeSales[[#This Row],[Total_cost]]</f>
        <v>168</v>
      </c>
      <c r="N370" s="11">
        <f>ShoeSales[[#This Row],[Profit]]/ShoeSales[[#This Row],[Revenue]]</f>
        <v>0.4375</v>
      </c>
    </row>
    <row r="371" spans="1:14" ht="14.25" customHeight="1" x14ac:dyDescent="0.25">
      <c r="A371" s="8">
        <v>46117</v>
      </c>
      <c r="B371" s="14" t="s">
        <v>15</v>
      </c>
      <c r="C371" s="16" t="s">
        <v>48</v>
      </c>
      <c r="D371" s="16" t="s">
        <v>31</v>
      </c>
      <c r="E371" s="14" t="str">
        <f ca="1">PROPER(TRIM(CLEAN(ShoeSales[[#This Row],[Brand]])))</f>
        <v>Timberland</v>
      </c>
      <c r="F371" s="16" t="s">
        <v>35</v>
      </c>
      <c r="G371" s="4">
        <v>1</v>
      </c>
      <c r="H371" s="16" t="s">
        <v>32</v>
      </c>
      <c r="I371" s="5">
        <f>VLOOKUP(ShoeSales[[#This Row],[Product]],Price!$A$2:C378,2,)</f>
        <v>119</v>
      </c>
      <c r="J371" s="5">
        <f>VLOOKUP(ShoeSales[[#This Row],[Product]],Price!$A$2:C378,3,)</f>
        <v>67</v>
      </c>
      <c r="K371" s="5">
        <f>ShoeSales[[#This Row],[Quantity]]*ShoeSales[[#This Row],[Unit_price]]</f>
        <v>119</v>
      </c>
      <c r="L371" s="5">
        <f>ShoeSales[[#This Row],[Quantity]]*ShoeSales[[#This Row],[Unit_cost]]</f>
        <v>67</v>
      </c>
      <c r="M371" s="5">
        <f>ShoeSales[[#This Row],[Revenue]]-ShoeSales[[#This Row],[Total_cost]]</f>
        <v>52</v>
      </c>
      <c r="N371" s="11">
        <f>ShoeSales[[#This Row],[Profit]]/ShoeSales[[#This Row],[Revenue]]</f>
        <v>0.43697478991596639</v>
      </c>
    </row>
    <row r="372" spans="1:14" ht="14.25" customHeight="1" x14ac:dyDescent="0.25">
      <c r="A372" s="7">
        <v>46246</v>
      </c>
      <c r="B372" s="14" t="s">
        <v>9</v>
      </c>
      <c r="C372" s="15" t="s">
        <v>27</v>
      </c>
      <c r="D372" s="15" t="s">
        <v>31</v>
      </c>
      <c r="E372" s="14" t="str">
        <f ca="1">PROPER(TRIM(CLEAN(ShoeSales[[#This Row],[Brand]])))</f>
        <v>Clarks</v>
      </c>
      <c r="F372" s="15" t="s">
        <v>46</v>
      </c>
      <c r="G372" s="3">
        <v>9</v>
      </c>
      <c r="H372" s="15" t="s">
        <v>30</v>
      </c>
      <c r="I372" s="5">
        <f>VLOOKUP(ShoeSales[[#This Row],[Product]],Price!$A$2:C379,2,)</f>
        <v>128</v>
      </c>
      <c r="J372" s="5">
        <f>VLOOKUP(ShoeSales[[#This Row],[Product]],Price!$A$2:C379,3,)</f>
        <v>72</v>
      </c>
      <c r="K372" s="5">
        <f>ShoeSales[[#This Row],[Quantity]]*ShoeSales[[#This Row],[Unit_price]]</f>
        <v>1152</v>
      </c>
      <c r="L372" s="5">
        <f>ShoeSales[[#This Row],[Quantity]]*ShoeSales[[#This Row],[Unit_cost]]</f>
        <v>648</v>
      </c>
      <c r="M372" s="5">
        <f>ShoeSales[[#This Row],[Revenue]]-ShoeSales[[#This Row],[Total_cost]]</f>
        <v>504</v>
      </c>
      <c r="N372" s="11">
        <f>ShoeSales[[#This Row],[Profit]]/ShoeSales[[#This Row],[Revenue]]</f>
        <v>0.4375</v>
      </c>
    </row>
    <row r="373" spans="1:14" ht="14.25" customHeight="1" x14ac:dyDescent="0.25">
      <c r="A373" s="8">
        <v>46199</v>
      </c>
      <c r="B373" s="14" t="s">
        <v>10</v>
      </c>
      <c r="C373" s="16" t="s">
        <v>27</v>
      </c>
      <c r="D373" s="16" t="s">
        <v>28</v>
      </c>
      <c r="E373" s="14" t="str">
        <f ca="1">PROPER(TRIM(CLEAN(ShoeSales[[#This Row],[Brand]])))</f>
        <v>Zara</v>
      </c>
      <c r="F373" s="16" t="s">
        <v>49</v>
      </c>
      <c r="G373" s="4">
        <v>7</v>
      </c>
      <c r="H373" s="16" t="s">
        <v>32</v>
      </c>
      <c r="I373" s="5">
        <f>VLOOKUP(ShoeSales[[#This Row],[Product]],Price!$A$2:C380,2,)</f>
        <v>105</v>
      </c>
      <c r="J373" s="5">
        <f>VLOOKUP(ShoeSales[[#This Row],[Product]],Price!$A$2:C380,3,)</f>
        <v>58</v>
      </c>
      <c r="K373" s="5">
        <f>ShoeSales[[#This Row],[Quantity]]*ShoeSales[[#This Row],[Unit_price]]</f>
        <v>735</v>
      </c>
      <c r="L373" s="5">
        <f>ShoeSales[[#This Row],[Quantity]]*ShoeSales[[#This Row],[Unit_cost]]</f>
        <v>406</v>
      </c>
      <c r="M373" s="5">
        <f>ShoeSales[[#This Row],[Revenue]]-ShoeSales[[#This Row],[Total_cost]]</f>
        <v>329</v>
      </c>
      <c r="N373" s="11">
        <f>ShoeSales[[#This Row],[Profit]]/ShoeSales[[#This Row],[Revenue]]</f>
        <v>0.44761904761904764</v>
      </c>
    </row>
    <row r="374" spans="1:14" ht="14.25" customHeight="1" x14ac:dyDescent="0.25">
      <c r="A374" s="7">
        <v>46170</v>
      </c>
      <c r="B374" s="14" t="s">
        <v>5</v>
      </c>
      <c r="C374" s="15" t="s">
        <v>27</v>
      </c>
      <c r="D374" s="15" t="s">
        <v>42</v>
      </c>
      <c r="E374" s="14" t="str">
        <f ca="1">PROPER(TRIM(CLEAN(ShoeSales[[#This Row],[Brand]])))</f>
        <v>Clarks</v>
      </c>
      <c r="F374" s="15" t="s">
        <v>47</v>
      </c>
      <c r="G374" s="3">
        <v>4</v>
      </c>
      <c r="H374" s="15" t="s">
        <v>41</v>
      </c>
      <c r="I374" s="5">
        <f>VLOOKUP(ShoeSales[[#This Row],[Product]],Price!$A$2:C381,2,)</f>
        <v>89</v>
      </c>
      <c r="J374" s="5">
        <f>VLOOKUP(ShoeSales[[#This Row],[Product]],Price!$A$2:C381,3,)</f>
        <v>47</v>
      </c>
      <c r="K374" s="5">
        <f>ShoeSales[[#This Row],[Quantity]]*ShoeSales[[#This Row],[Unit_price]]</f>
        <v>356</v>
      </c>
      <c r="L374" s="5">
        <f>ShoeSales[[#This Row],[Quantity]]*ShoeSales[[#This Row],[Unit_cost]]</f>
        <v>188</v>
      </c>
      <c r="M374" s="5">
        <f>ShoeSales[[#This Row],[Revenue]]-ShoeSales[[#This Row],[Total_cost]]</f>
        <v>168</v>
      </c>
      <c r="N374" s="11">
        <f>ShoeSales[[#This Row],[Profit]]/ShoeSales[[#This Row],[Revenue]]</f>
        <v>0.47191011235955055</v>
      </c>
    </row>
    <row r="375" spans="1:14" ht="14.25" customHeight="1" x14ac:dyDescent="0.25">
      <c r="A375" s="8">
        <v>46062</v>
      </c>
      <c r="B375" s="14" t="s">
        <v>15</v>
      </c>
      <c r="C375" s="16" t="s">
        <v>52</v>
      </c>
      <c r="D375" s="16" t="s">
        <v>42</v>
      </c>
      <c r="E375" s="14" t="str">
        <f ca="1">PROPER(TRIM(CLEAN(ShoeSales[[#This Row],[Brand]])))</f>
        <v>Steve Madden</v>
      </c>
      <c r="F375" s="16" t="s">
        <v>44</v>
      </c>
      <c r="G375" s="4">
        <v>7</v>
      </c>
      <c r="H375" s="16" t="s">
        <v>32</v>
      </c>
      <c r="I375" s="5">
        <f>VLOOKUP(ShoeSales[[#This Row],[Product]],Price!$A$2:C382,2,)</f>
        <v>119</v>
      </c>
      <c r="J375" s="5">
        <f>VLOOKUP(ShoeSales[[#This Row],[Product]],Price!$A$2:C382,3,)</f>
        <v>67</v>
      </c>
      <c r="K375" s="5">
        <f>ShoeSales[[#This Row],[Quantity]]*ShoeSales[[#This Row],[Unit_price]]</f>
        <v>833</v>
      </c>
      <c r="L375" s="5">
        <f>ShoeSales[[#This Row],[Quantity]]*ShoeSales[[#This Row],[Unit_cost]]</f>
        <v>469</v>
      </c>
      <c r="M375" s="5">
        <f>ShoeSales[[#This Row],[Revenue]]-ShoeSales[[#This Row],[Total_cost]]</f>
        <v>364</v>
      </c>
      <c r="N375" s="11">
        <f>ShoeSales[[#This Row],[Profit]]/ShoeSales[[#This Row],[Revenue]]</f>
        <v>0.43697478991596639</v>
      </c>
    </row>
    <row r="376" spans="1:14" ht="14.25" customHeight="1" x14ac:dyDescent="0.25">
      <c r="A376" s="7">
        <v>46086</v>
      </c>
      <c r="B376" s="14" t="s">
        <v>8</v>
      </c>
      <c r="C376" s="15" t="s">
        <v>48</v>
      </c>
      <c r="D376" s="15" t="s">
        <v>33</v>
      </c>
      <c r="E376" s="14" t="str">
        <f ca="1">PROPER(TRIM(CLEAN(ShoeSales[[#This Row],[Brand]])))</f>
        <v>Timberland</v>
      </c>
      <c r="F376" s="15" t="s">
        <v>53</v>
      </c>
      <c r="G376" s="3">
        <v>10</v>
      </c>
      <c r="H376" s="15" t="s">
        <v>45</v>
      </c>
      <c r="I376" s="5">
        <f>VLOOKUP(ShoeSales[[#This Row],[Product]],Price!$A$2:C383,2,)</f>
        <v>76</v>
      </c>
      <c r="J376" s="5">
        <f>VLOOKUP(ShoeSales[[#This Row],[Product]],Price!$A$2:C383,3,)</f>
        <v>39</v>
      </c>
      <c r="K376" s="5">
        <f>ShoeSales[[#This Row],[Quantity]]*ShoeSales[[#This Row],[Unit_price]]</f>
        <v>760</v>
      </c>
      <c r="L376" s="5">
        <f>ShoeSales[[#This Row],[Quantity]]*ShoeSales[[#This Row],[Unit_cost]]</f>
        <v>390</v>
      </c>
      <c r="M376" s="5">
        <f>ShoeSales[[#This Row],[Revenue]]-ShoeSales[[#This Row],[Total_cost]]</f>
        <v>370</v>
      </c>
      <c r="N376" s="11">
        <f>ShoeSales[[#This Row],[Profit]]/ShoeSales[[#This Row],[Revenue]]</f>
        <v>0.48684210526315791</v>
      </c>
    </row>
    <row r="377" spans="1:14" ht="14.25" customHeight="1" x14ac:dyDescent="0.25">
      <c r="A377" s="8">
        <v>46078</v>
      </c>
      <c r="B377" s="14" t="s">
        <v>6</v>
      </c>
      <c r="C377" s="16" t="s">
        <v>27</v>
      </c>
      <c r="D377" s="16" t="s">
        <v>42</v>
      </c>
      <c r="E377" s="14" t="str">
        <f ca="1">PROPER(TRIM(CLEAN(ShoeSales[[#This Row],[Brand]])))</f>
        <v>Clarks</v>
      </c>
      <c r="F377" s="16" t="s">
        <v>40</v>
      </c>
      <c r="G377" s="4">
        <v>2</v>
      </c>
      <c r="H377" s="16" t="s">
        <v>45</v>
      </c>
      <c r="I377" s="5">
        <f>VLOOKUP(ShoeSales[[#This Row],[Product]],Price!$A$2:C384,2,)</f>
        <v>54</v>
      </c>
      <c r="J377" s="5">
        <f>VLOOKUP(ShoeSales[[#This Row],[Product]],Price!$A$2:C384,3,)</f>
        <v>28</v>
      </c>
      <c r="K377" s="5">
        <f>ShoeSales[[#This Row],[Quantity]]*ShoeSales[[#This Row],[Unit_price]]</f>
        <v>108</v>
      </c>
      <c r="L377" s="5">
        <f>ShoeSales[[#This Row],[Quantity]]*ShoeSales[[#This Row],[Unit_cost]]</f>
        <v>56</v>
      </c>
      <c r="M377" s="5">
        <f>ShoeSales[[#This Row],[Revenue]]-ShoeSales[[#This Row],[Total_cost]]</f>
        <v>52</v>
      </c>
      <c r="N377" s="11">
        <f>ShoeSales[[#This Row],[Profit]]/ShoeSales[[#This Row],[Revenue]]</f>
        <v>0.48148148148148145</v>
      </c>
    </row>
    <row r="378" spans="1:14" ht="14.25" customHeight="1" x14ac:dyDescent="0.25">
      <c r="A378" s="7">
        <v>46183</v>
      </c>
      <c r="B378" s="14" t="s">
        <v>12</v>
      </c>
      <c r="C378" s="15" t="s">
        <v>48</v>
      </c>
      <c r="D378" s="15" t="s">
        <v>38</v>
      </c>
      <c r="E378" s="14" t="str">
        <f ca="1">PROPER(TRIM(CLEAN(ShoeSales[[#This Row],[Brand]])))</f>
        <v>Clarks</v>
      </c>
      <c r="F378" s="15" t="s">
        <v>36</v>
      </c>
      <c r="G378" s="3">
        <v>14</v>
      </c>
      <c r="H378" s="15" t="s">
        <v>32</v>
      </c>
      <c r="I378" s="5">
        <f>VLOOKUP(ShoeSales[[#This Row],[Product]],Price!$A$2:C385,2,)</f>
        <v>112</v>
      </c>
      <c r="J378" s="5">
        <f>VLOOKUP(ShoeSales[[#This Row],[Product]],Price!$A$2:C385,3,)</f>
        <v>64</v>
      </c>
      <c r="K378" s="5">
        <f>ShoeSales[[#This Row],[Quantity]]*ShoeSales[[#This Row],[Unit_price]]</f>
        <v>1568</v>
      </c>
      <c r="L378" s="5">
        <f>ShoeSales[[#This Row],[Quantity]]*ShoeSales[[#This Row],[Unit_cost]]</f>
        <v>896</v>
      </c>
      <c r="M378" s="5">
        <f>ShoeSales[[#This Row],[Revenue]]-ShoeSales[[#This Row],[Total_cost]]</f>
        <v>672</v>
      </c>
      <c r="N378" s="11">
        <f>ShoeSales[[#This Row],[Profit]]/ShoeSales[[#This Row],[Revenue]]</f>
        <v>0.42857142857142855</v>
      </c>
    </row>
    <row r="379" spans="1:14" ht="14.25" customHeight="1" x14ac:dyDescent="0.25">
      <c r="A379" s="8">
        <v>46032</v>
      </c>
      <c r="B379" s="14" t="s">
        <v>9</v>
      </c>
      <c r="C379" s="16" t="s">
        <v>48</v>
      </c>
      <c r="D379" s="16" t="s">
        <v>38</v>
      </c>
      <c r="E379" s="14" t="str">
        <f ca="1">PROPER(TRIM(CLEAN(ShoeSales[[#This Row],[Brand]])))</f>
        <v>Clarks</v>
      </c>
      <c r="F379" s="16" t="s">
        <v>29</v>
      </c>
      <c r="G379" s="4">
        <v>6</v>
      </c>
      <c r="H379" s="16" t="s">
        <v>45</v>
      </c>
      <c r="I379" s="5">
        <f>VLOOKUP(ShoeSales[[#This Row],[Product]],Price!$A$2:C386,2,)</f>
        <v>128</v>
      </c>
      <c r="J379" s="5">
        <f>VLOOKUP(ShoeSales[[#This Row],[Product]],Price!$A$2:C386,3,)</f>
        <v>72</v>
      </c>
      <c r="K379" s="5">
        <f>ShoeSales[[#This Row],[Quantity]]*ShoeSales[[#This Row],[Unit_price]]</f>
        <v>768</v>
      </c>
      <c r="L379" s="5">
        <f>ShoeSales[[#This Row],[Quantity]]*ShoeSales[[#This Row],[Unit_cost]]</f>
        <v>432</v>
      </c>
      <c r="M379" s="5">
        <f>ShoeSales[[#This Row],[Revenue]]-ShoeSales[[#This Row],[Total_cost]]</f>
        <v>336</v>
      </c>
      <c r="N379" s="11">
        <f>ShoeSales[[#This Row],[Profit]]/ShoeSales[[#This Row],[Revenue]]</f>
        <v>0.4375</v>
      </c>
    </row>
    <row r="380" spans="1:14" ht="14.25" customHeight="1" x14ac:dyDescent="0.25">
      <c r="A380" s="7">
        <v>46220</v>
      </c>
      <c r="B380" s="14" t="s">
        <v>10</v>
      </c>
      <c r="C380" s="15" t="s">
        <v>48</v>
      </c>
      <c r="D380" s="15" t="s">
        <v>38</v>
      </c>
      <c r="E380" s="14" t="str">
        <f ca="1">PROPER(TRIM(CLEAN(ShoeSales[[#This Row],[Brand]])))</f>
        <v>Timberland</v>
      </c>
      <c r="F380" s="15" t="s">
        <v>29</v>
      </c>
      <c r="G380" s="3">
        <v>5</v>
      </c>
      <c r="H380" s="15" t="s">
        <v>41</v>
      </c>
      <c r="I380" s="5">
        <f>VLOOKUP(ShoeSales[[#This Row],[Product]],Price!$A$2:C387,2,)</f>
        <v>105</v>
      </c>
      <c r="J380" s="5">
        <f>VLOOKUP(ShoeSales[[#This Row],[Product]],Price!$A$2:C387,3,)</f>
        <v>58</v>
      </c>
      <c r="K380" s="5">
        <f>ShoeSales[[#This Row],[Quantity]]*ShoeSales[[#This Row],[Unit_price]]</f>
        <v>525</v>
      </c>
      <c r="L380" s="5">
        <f>ShoeSales[[#This Row],[Quantity]]*ShoeSales[[#This Row],[Unit_cost]]</f>
        <v>290</v>
      </c>
      <c r="M380" s="5">
        <f>ShoeSales[[#This Row],[Revenue]]-ShoeSales[[#This Row],[Total_cost]]</f>
        <v>235</v>
      </c>
      <c r="N380" s="11">
        <f>ShoeSales[[#This Row],[Profit]]/ShoeSales[[#This Row],[Revenue]]</f>
        <v>0.44761904761904764</v>
      </c>
    </row>
    <row r="381" spans="1:14" ht="14.25" customHeight="1" x14ac:dyDescent="0.25">
      <c r="A381" s="8">
        <v>46073</v>
      </c>
      <c r="B381" s="14" t="s">
        <v>12</v>
      </c>
      <c r="C381" s="16" t="s">
        <v>48</v>
      </c>
      <c r="D381" s="16" t="s">
        <v>33</v>
      </c>
      <c r="E381" s="14" t="str">
        <f ca="1">PROPER(TRIM(CLEAN(ShoeSales[[#This Row],[Brand]])))</f>
        <v>Timberland</v>
      </c>
      <c r="F381" s="16" t="s">
        <v>29</v>
      </c>
      <c r="G381" s="4">
        <v>4</v>
      </c>
      <c r="H381" s="16" t="s">
        <v>30</v>
      </c>
      <c r="I381" s="5">
        <f>VLOOKUP(ShoeSales[[#This Row],[Product]],Price!$A$2:C388,2,)</f>
        <v>112</v>
      </c>
      <c r="J381" s="5">
        <f>VLOOKUP(ShoeSales[[#This Row],[Product]],Price!$A$2:C388,3,)</f>
        <v>64</v>
      </c>
      <c r="K381" s="5">
        <f>ShoeSales[[#This Row],[Quantity]]*ShoeSales[[#This Row],[Unit_price]]</f>
        <v>448</v>
      </c>
      <c r="L381" s="5">
        <f>ShoeSales[[#This Row],[Quantity]]*ShoeSales[[#This Row],[Unit_cost]]</f>
        <v>256</v>
      </c>
      <c r="M381" s="5">
        <f>ShoeSales[[#This Row],[Revenue]]-ShoeSales[[#This Row],[Total_cost]]</f>
        <v>192</v>
      </c>
      <c r="N381" s="11">
        <f>ShoeSales[[#This Row],[Profit]]/ShoeSales[[#This Row],[Revenue]]</f>
        <v>0.42857142857142855</v>
      </c>
    </row>
    <row r="382" spans="1:14" ht="14.25" customHeight="1" x14ac:dyDescent="0.25">
      <c r="A382" s="7">
        <v>46199</v>
      </c>
      <c r="B382" s="14" t="s">
        <v>8</v>
      </c>
      <c r="C382" s="15" t="s">
        <v>48</v>
      </c>
      <c r="D382" s="15" t="s">
        <v>38</v>
      </c>
      <c r="E382" s="14" t="str">
        <f ca="1">PROPER(TRIM(CLEAN(ShoeSales[[#This Row],[Brand]])))</f>
        <v>Timberland</v>
      </c>
      <c r="F382" s="15" t="s">
        <v>34</v>
      </c>
      <c r="G382" s="3">
        <v>4</v>
      </c>
      <c r="H382" s="15" t="s">
        <v>30</v>
      </c>
      <c r="I382" s="5">
        <f>VLOOKUP(ShoeSales[[#This Row],[Product]],Price!$A$2:C389,2,)</f>
        <v>76</v>
      </c>
      <c r="J382" s="5">
        <f>VLOOKUP(ShoeSales[[#This Row],[Product]],Price!$A$2:C389,3,)</f>
        <v>39</v>
      </c>
      <c r="K382" s="5">
        <f>ShoeSales[[#This Row],[Quantity]]*ShoeSales[[#This Row],[Unit_price]]</f>
        <v>304</v>
      </c>
      <c r="L382" s="5">
        <f>ShoeSales[[#This Row],[Quantity]]*ShoeSales[[#This Row],[Unit_cost]]</f>
        <v>156</v>
      </c>
      <c r="M382" s="5">
        <f>ShoeSales[[#This Row],[Revenue]]-ShoeSales[[#This Row],[Total_cost]]</f>
        <v>148</v>
      </c>
      <c r="N382" s="11">
        <f>ShoeSales[[#This Row],[Profit]]/ShoeSales[[#This Row],[Revenue]]</f>
        <v>0.48684210526315791</v>
      </c>
    </row>
    <row r="383" spans="1:14" ht="14.25" customHeight="1" x14ac:dyDescent="0.25">
      <c r="A383" s="8">
        <v>46189</v>
      </c>
      <c r="B383" s="14" t="s">
        <v>10</v>
      </c>
      <c r="C383" s="16" t="s">
        <v>27</v>
      </c>
      <c r="D383" s="16" t="s">
        <v>38</v>
      </c>
      <c r="E383" s="14" t="str">
        <f ca="1">PROPER(TRIM(CLEAN(ShoeSales[[#This Row],[Brand]])))</f>
        <v>Nike</v>
      </c>
      <c r="F383" s="16" t="s">
        <v>36</v>
      </c>
      <c r="G383" s="4">
        <v>10</v>
      </c>
      <c r="H383" s="16" t="s">
        <v>41</v>
      </c>
      <c r="I383" s="5">
        <f>VLOOKUP(ShoeSales[[#This Row],[Product]],Price!$A$2:C390,2,)</f>
        <v>105</v>
      </c>
      <c r="J383" s="5">
        <f>VLOOKUP(ShoeSales[[#This Row],[Product]],Price!$A$2:C390,3,)</f>
        <v>58</v>
      </c>
      <c r="K383" s="5">
        <f>ShoeSales[[#This Row],[Quantity]]*ShoeSales[[#This Row],[Unit_price]]</f>
        <v>1050</v>
      </c>
      <c r="L383" s="5">
        <f>ShoeSales[[#This Row],[Quantity]]*ShoeSales[[#This Row],[Unit_cost]]</f>
        <v>580</v>
      </c>
      <c r="M383" s="5">
        <f>ShoeSales[[#This Row],[Revenue]]-ShoeSales[[#This Row],[Total_cost]]</f>
        <v>470</v>
      </c>
      <c r="N383" s="11">
        <f>ShoeSales[[#This Row],[Profit]]/ShoeSales[[#This Row],[Revenue]]</f>
        <v>0.44761904761904764</v>
      </c>
    </row>
    <row r="384" spans="1:14" ht="14.25" customHeight="1" x14ac:dyDescent="0.25">
      <c r="A384" s="7">
        <v>46185</v>
      </c>
      <c r="B384" s="14" t="s">
        <v>5</v>
      </c>
      <c r="C384" s="15" t="s">
        <v>52</v>
      </c>
      <c r="D384" s="15" t="s">
        <v>31</v>
      </c>
      <c r="E384" s="14" t="str">
        <f ca="1">PROPER(TRIM(CLEAN(ShoeSales[[#This Row],[Brand]])))</f>
        <v>Nike</v>
      </c>
      <c r="F384" s="15" t="s">
        <v>44</v>
      </c>
      <c r="G384" s="3">
        <v>14</v>
      </c>
      <c r="H384" s="15" t="s">
        <v>41</v>
      </c>
      <c r="I384" s="5">
        <f>VLOOKUP(ShoeSales[[#This Row],[Product]],Price!$A$2:C391,2,)</f>
        <v>89</v>
      </c>
      <c r="J384" s="5">
        <f>VLOOKUP(ShoeSales[[#This Row],[Product]],Price!$A$2:C391,3,)</f>
        <v>47</v>
      </c>
      <c r="K384" s="5">
        <f>ShoeSales[[#This Row],[Quantity]]*ShoeSales[[#This Row],[Unit_price]]</f>
        <v>1246</v>
      </c>
      <c r="L384" s="5">
        <f>ShoeSales[[#This Row],[Quantity]]*ShoeSales[[#This Row],[Unit_cost]]</f>
        <v>658</v>
      </c>
      <c r="M384" s="5">
        <f>ShoeSales[[#This Row],[Revenue]]-ShoeSales[[#This Row],[Total_cost]]</f>
        <v>588</v>
      </c>
      <c r="N384" s="11">
        <f>ShoeSales[[#This Row],[Profit]]/ShoeSales[[#This Row],[Revenue]]</f>
        <v>0.47191011235955055</v>
      </c>
    </row>
    <row r="385" spans="1:14" ht="14.25" customHeight="1" x14ac:dyDescent="0.25">
      <c r="A385" s="8">
        <v>46201</v>
      </c>
      <c r="B385" s="14" t="s">
        <v>15</v>
      </c>
      <c r="C385" s="16" t="s">
        <v>48</v>
      </c>
      <c r="D385" s="16" t="s">
        <v>33</v>
      </c>
      <c r="E385" s="14" t="str">
        <f ca="1">PROPER(TRIM(CLEAN(ShoeSales[[#This Row],[Brand]])))</f>
        <v>Timberland</v>
      </c>
      <c r="F385" s="16" t="s">
        <v>40</v>
      </c>
      <c r="G385" s="4">
        <v>8</v>
      </c>
      <c r="H385" s="16" t="s">
        <v>45</v>
      </c>
      <c r="I385" s="5">
        <f>VLOOKUP(ShoeSales[[#This Row],[Product]],Price!$A$2:C392,2,)</f>
        <v>119</v>
      </c>
      <c r="J385" s="5">
        <f>VLOOKUP(ShoeSales[[#This Row],[Product]],Price!$A$2:C392,3,)</f>
        <v>67</v>
      </c>
      <c r="K385" s="5">
        <f>ShoeSales[[#This Row],[Quantity]]*ShoeSales[[#This Row],[Unit_price]]</f>
        <v>952</v>
      </c>
      <c r="L385" s="5">
        <f>ShoeSales[[#This Row],[Quantity]]*ShoeSales[[#This Row],[Unit_cost]]</f>
        <v>536</v>
      </c>
      <c r="M385" s="5">
        <f>ShoeSales[[#This Row],[Revenue]]-ShoeSales[[#This Row],[Total_cost]]</f>
        <v>416</v>
      </c>
      <c r="N385" s="11">
        <f>ShoeSales[[#This Row],[Profit]]/ShoeSales[[#This Row],[Revenue]]</f>
        <v>0.43697478991596639</v>
      </c>
    </row>
    <row r="386" spans="1:14" ht="14.25" customHeight="1" x14ac:dyDescent="0.25">
      <c r="A386" s="7">
        <v>46031</v>
      </c>
      <c r="B386" s="14" t="s">
        <v>9</v>
      </c>
      <c r="C386" s="15" t="s">
        <v>27</v>
      </c>
      <c r="D386" s="15" t="s">
        <v>31</v>
      </c>
      <c r="E386" s="14" t="str">
        <f ca="1">PROPER(TRIM(CLEAN(ShoeSales[[#This Row],[Brand]])))</f>
        <v>Zara</v>
      </c>
      <c r="F386" s="15" t="s">
        <v>47</v>
      </c>
      <c r="G386" s="3">
        <v>3</v>
      </c>
      <c r="H386" s="15" t="s">
        <v>41</v>
      </c>
      <c r="I386" s="5">
        <f>VLOOKUP(ShoeSales[[#This Row],[Product]],Price!$A$2:C393,2,)</f>
        <v>128</v>
      </c>
      <c r="J386" s="5">
        <f>VLOOKUP(ShoeSales[[#This Row],[Product]],Price!$A$2:C393,3,)</f>
        <v>72</v>
      </c>
      <c r="K386" s="5">
        <f>ShoeSales[[#This Row],[Quantity]]*ShoeSales[[#This Row],[Unit_price]]</f>
        <v>384</v>
      </c>
      <c r="L386" s="5">
        <f>ShoeSales[[#This Row],[Quantity]]*ShoeSales[[#This Row],[Unit_cost]]</f>
        <v>216</v>
      </c>
      <c r="M386" s="5">
        <f>ShoeSales[[#This Row],[Revenue]]-ShoeSales[[#This Row],[Total_cost]]</f>
        <v>168</v>
      </c>
      <c r="N386" s="11">
        <f>ShoeSales[[#This Row],[Profit]]/ShoeSales[[#This Row],[Revenue]]</f>
        <v>0.4375</v>
      </c>
    </row>
    <row r="387" spans="1:14" ht="14.25" customHeight="1" x14ac:dyDescent="0.25">
      <c r="A387" s="8">
        <v>46208</v>
      </c>
      <c r="B387" s="14" t="s">
        <v>9</v>
      </c>
      <c r="C387" s="16" t="s">
        <v>27</v>
      </c>
      <c r="D387" s="16" t="s">
        <v>31</v>
      </c>
      <c r="E387" s="14" t="str">
        <f ca="1">PROPER(TRIM(CLEAN(ShoeSales[[#This Row],[Brand]])))</f>
        <v>Clarks</v>
      </c>
      <c r="F387" s="16" t="s">
        <v>50</v>
      </c>
      <c r="G387" s="4">
        <v>13</v>
      </c>
      <c r="H387" s="16" t="s">
        <v>30</v>
      </c>
      <c r="I387" s="5">
        <f>VLOOKUP(ShoeSales[[#This Row],[Product]],Price!$A$2:C394,2,)</f>
        <v>128</v>
      </c>
      <c r="J387" s="5">
        <f>VLOOKUP(ShoeSales[[#This Row],[Product]],Price!$A$2:C394,3,)</f>
        <v>72</v>
      </c>
      <c r="K387" s="5">
        <f>ShoeSales[[#This Row],[Quantity]]*ShoeSales[[#This Row],[Unit_price]]</f>
        <v>1664</v>
      </c>
      <c r="L387" s="5">
        <f>ShoeSales[[#This Row],[Quantity]]*ShoeSales[[#This Row],[Unit_cost]]</f>
        <v>936</v>
      </c>
      <c r="M387" s="5">
        <f>ShoeSales[[#This Row],[Revenue]]-ShoeSales[[#This Row],[Total_cost]]</f>
        <v>728</v>
      </c>
      <c r="N387" s="11">
        <f>ShoeSales[[#This Row],[Profit]]/ShoeSales[[#This Row],[Revenue]]</f>
        <v>0.4375</v>
      </c>
    </row>
    <row r="388" spans="1:14" ht="14.25" customHeight="1" x14ac:dyDescent="0.25">
      <c r="A388" s="7">
        <v>46196</v>
      </c>
      <c r="B388" s="14" t="s">
        <v>7</v>
      </c>
      <c r="C388" s="15" t="s">
        <v>27</v>
      </c>
      <c r="D388" s="15" t="s">
        <v>33</v>
      </c>
      <c r="E388" s="14" t="str">
        <f ca="1">PROPER(TRIM(CLEAN(ShoeSales[[#This Row],[Brand]])))</f>
        <v>Nike</v>
      </c>
      <c r="F388" s="15" t="s">
        <v>34</v>
      </c>
      <c r="G388" s="3">
        <v>8</v>
      </c>
      <c r="H388" s="15" t="s">
        <v>30</v>
      </c>
      <c r="I388" s="5">
        <f>VLOOKUP(ShoeSales[[#This Row],[Product]],Price!$A$2:C395,2,)</f>
        <v>32</v>
      </c>
      <c r="J388" s="5">
        <f>VLOOKUP(ShoeSales[[#This Row],[Product]],Price!$A$2:C395,3,)</f>
        <v>14</v>
      </c>
      <c r="K388" s="5">
        <f>ShoeSales[[#This Row],[Quantity]]*ShoeSales[[#This Row],[Unit_price]]</f>
        <v>256</v>
      </c>
      <c r="L388" s="5">
        <f>ShoeSales[[#This Row],[Quantity]]*ShoeSales[[#This Row],[Unit_cost]]</f>
        <v>112</v>
      </c>
      <c r="M388" s="5">
        <f>ShoeSales[[#This Row],[Revenue]]-ShoeSales[[#This Row],[Total_cost]]</f>
        <v>144</v>
      </c>
      <c r="N388" s="11">
        <f>ShoeSales[[#This Row],[Profit]]/ShoeSales[[#This Row],[Revenue]]</f>
        <v>0.5625</v>
      </c>
    </row>
    <row r="389" spans="1:14" ht="14.25" customHeight="1" x14ac:dyDescent="0.25">
      <c r="A389" s="8">
        <v>46090</v>
      </c>
      <c r="B389" s="14" t="s">
        <v>6</v>
      </c>
      <c r="C389" s="16" t="s">
        <v>48</v>
      </c>
      <c r="D389" s="16" t="s">
        <v>33</v>
      </c>
      <c r="E389" s="14" t="str">
        <f ca="1">PROPER(TRIM(CLEAN(ShoeSales[[#This Row],[Brand]])))</f>
        <v>Timberland</v>
      </c>
      <c r="F389" s="16" t="s">
        <v>50</v>
      </c>
      <c r="G389" s="4">
        <v>6</v>
      </c>
      <c r="H389" s="16" t="s">
        <v>30</v>
      </c>
      <c r="I389" s="5">
        <f>VLOOKUP(ShoeSales[[#This Row],[Product]],Price!$A$2:C396,2,)</f>
        <v>54</v>
      </c>
      <c r="J389" s="5">
        <f>VLOOKUP(ShoeSales[[#This Row],[Product]],Price!$A$2:C396,3,)</f>
        <v>28</v>
      </c>
      <c r="K389" s="5">
        <f>ShoeSales[[#This Row],[Quantity]]*ShoeSales[[#This Row],[Unit_price]]</f>
        <v>324</v>
      </c>
      <c r="L389" s="5">
        <f>ShoeSales[[#This Row],[Quantity]]*ShoeSales[[#This Row],[Unit_cost]]</f>
        <v>168</v>
      </c>
      <c r="M389" s="5">
        <f>ShoeSales[[#This Row],[Revenue]]-ShoeSales[[#This Row],[Total_cost]]</f>
        <v>156</v>
      </c>
      <c r="N389" s="11">
        <f>ShoeSales[[#This Row],[Profit]]/ShoeSales[[#This Row],[Revenue]]</f>
        <v>0.48148148148148145</v>
      </c>
    </row>
    <row r="390" spans="1:14" ht="14.25" customHeight="1" x14ac:dyDescent="0.25">
      <c r="A390" s="7">
        <v>46043</v>
      </c>
      <c r="B390" s="14" t="s">
        <v>10</v>
      </c>
      <c r="C390" s="15" t="s">
        <v>27</v>
      </c>
      <c r="D390" s="15" t="s">
        <v>28</v>
      </c>
      <c r="E390" s="14" t="str">
        <f ca="1">PROPER(TRIM(CLEAN(ShoeSales[[#This Row],[Brand]])))</f>
        <v>Zara</v>
      </c>
      <c r="F390" s="15" t="s">
        <v>43</v>
      </c>
      <c r="G390" s="3">
        <v>14</v>
      </c>
      <c r="H390" s="15" t="s">
        <v>41</v>
      </c>
      <c r="I390" s="5">
        <f>VLOOKUP(ShoeSales[[#This Row],[Product]],Price!$A$2:C397,2,)</f>
        <v>105</v>
      </c>
      <c r="J390" s="5">
        <f>VLOOKUP(ShoeSales[[#This Row],[Product]],Price!$A$2:C397,3,)</f>
        <v>58</v>
      </c>
      <c r="K390" s="5">
        <f>ShoeSales[[#This Row],[Quantity]]*ShoeSales[[#This Row],[Unit_price]]</f>
        <v>1470</v>
      </c>
      <c r="L390" s="5">
        <f>ShoeSales[[#This Row],[Quantity]]*ShoeSales[[#This Row],[Unit_cost]]</f>
        <v>812</v>
      </c>
      <c r="M390" s="5">
        <f>ShoeSales[[#This Row],[Revenue]]-ShoeSales[[#This Row],[Total_cost]]</f>
        <v>658</v>
      </c>
      <c r="N390" s="11">
        <f>ShoeSales[[#This Row],[Profit]]/ShoeSales[[#This Row],[Revenue]]</f>
        <v>0.44761904761904764</v>
      </c>
    </row>
    <row r="391" spans="1:14" ht="14.25" customHeight="1" x14ac:dyDescent="0.25">
      <c r="A391" s="8">
        <v>46162</v>
      </c>
      <c r="B391" s="14" t="s">
        <v>15</v>
      </c>
      <c r="C391" s="16" t="s">
        <v>48</v>
      </c>
      <c r="D391" s="16" t="s">
        <v>38</v>
      </c>
      <c r="E391" s="14" t="str">
        <f ca="1">PROPER(TRIM(CLEAN(ShoeSales[[#This Row],[Brand]])))</f>
        <v>Clarks</v>
      </c>
      <c r="F391" s="16" t="s">
        <v>39</v>
      </c>
      <c r="G391" s="4">
        <v>1</v>
      </c>
      <c r="H391" s="16" t="s">
        <v>32</v>
      </c>
      <c r="I391" s="5">
        <f>VLOOKUP(ShoeSales[[#This Row],[Product]],Price!$A$2:C398,2,)</f>
        <v>119</v>
      </c>
      <c r="J391" s="5">
        <f>VLOOKUP(ShoeSales[[#This Row],[Product]],Price!$A$2:C398,3,)</f>
        <v>67</v>
      </c>
      <c r="K391" s="5">
        <f>ShoeSales[[#This Row],[Quantity]]*ShoeSales[[#This Row],[Unit_price]]</f>
        <v>119</v>
      </c>
      <c r="L391" s="5">
        <f>ShoeSales[[#This Row],[Quantity]]*ShoeSales[[#This Row],[Unit_cost]]</f>
        <v>67</v>
      </c>
      <c r="M391" s="5">
        <f>ShoeSales[[#This Row],[Revenue]]-ShoeSales[[#This Row],[Total_cost]]</f>
        <v>52</v>
      </c>
      <c r="N391" s="11">
        <f>ShoeSales[[#This Row],[Profit]]/ShoeSales[[#This Row],[Revenue]]</f>
        <v>0.43697478991596639</v>
      </c>
    </row>
    <row r="392" spans="1:14" ht="14.25" customHeight="1" x14ac:dyDescent="0.25">
      <c r="A392" s="7">
        <v>46169</v>
      </c>
      <c r="B392" s="14" t="s">
        <v>9</v>
      </c>
      <c r="C392" s="15" t="s">
        <v>27</v>
      </c>
      <c r="D392" s="15" t="s">
        <v>33</v>
      </c>
      <c r="E392" s="14" t="str">
        <f ca="1">PROPER(TRIM(CLEAN(ShoeSales[[#This Row],[Brand]])))</f>
        <v>Nike</v>
      </c>
      <c r="F392" s="15" t="s">
        <v>53</v>
      </c>
      <c r="G392" s="3">
        <v>11</v>
      </c>
      <c r="H392" s="15" t="s">
        <v>45</v>
      </c>
      <c r="I392" s="5">
        <f>VLOOKUP(ShoeSales[[#This Row],[Product]],Price!$A$2:C399,2,)</f>
        <v>128</v>
      </c>
      <c r="J392" s="5">
        <f>VLOOKUP(ShoeSales[[#This Row],[Product]],Price!$A$2:C399,3,)</f>
        <v>72</v>
      </c>
      <c r="K392" s="5">
        <f>ShoeSales[[#This Row],[Quantity]]*ShoeSales[[#This Row],[Unit_price]]</f>
        <v>1408</v>
      </c>
      <c r="L392" s="5">
        <f>ShoeSales[[#This Row],[Quantity]]*ShoeSales[[#This Row],[Unit_cost]]</f>
        <v>792</v>
      </c>
      <c r="M392" s="5">
        <f>ShoeSales[[#This Row],[Revenue]]-ShoeSales[[#This Row],[Total_cost]]</f>
        <v>616</v>
      </c>
      <c r="N392" s="11">
        <f>ShoeSales[[#This Row],[Profit]]/ShoeSales[[#This Row],[Revenue]]</f>
        <v>0.4375</v>
      </c>
    </row>
    <row r="393" spans="1:14" ht="14.25" customHeight="1" x14ac:dyDescent="0.25">
      <c r="A393" s="8">
        <v>46168</v>
      </c>
      <c r="B393" s="14" t="s">
        <v>7</v>
      </c>
      <c r="C393" s="16" t="s">
        <v>48</v>
      </c>
      <c r="D393" s="16" t="s">
        <v>31</v>
      </c>
      <c r="E393" s="14" t="str">
        <f ca="1">PROPER(TRIM(CLEAN(ShoeSales[[#This Row],[Brand]])))</f>
        <v>Clarks</v>
      </c>
      <c r="F393" s="16" t="s">
        <v>39</v>
      </c>
      <c r="G393" s="4">
        <v>9</v>
      </c>
      <c r="H393" s="16" t="s">
        <v>30</v>
      </c>
      <c r="I393" s="5">
        <f>VLOOKUP(ShoeSales[[#This Row],[Product]],Price!$A$2:C400,2,)</f>
        <v>32</v>
      </c>
      <c r="J393" s="5">
        <f>VLOOKUP(ShoeSales[[#This Row],[Product]],Price!$A$2:C400,3,)</f>
        <v>14</v>
      </c>
      <c r="K393" s="5">
        <f>ShoeSales[[#This Row],[Quantity]]*ShoeSales[[#This Row],[Unit_price]]</f>
        <v>288</v>
      </c>
      <c r="L393" s="5">
        <f>ShoeSales[[#This Row],[Quantity]]*ShoeSales[[#This Row],[Unit_cost]]</f>
        <v>126</v>
      </c>
      <c r="M393" s="5">
        <f>ShoeSales[[#This Row],[Revenue]]-ShoeSales[[#This Row],[Total_cost]]</f>
        <v>162</v>
      </c>
      <c r="N393" s="11">
        <f>ShoeSales[[#This Row],[Profit]]/ShoeSales[[#This Row],[Revenue]]</f>
        <v>0.5625</v>
      </c>
    </row>
    <row r="394" spans="1:14" ht="14.25" customHeight="1" x14ac:dyDescent="0.25">
      <c r="A394" s="7">
        <v>46156</v>
      </c>
      <c r="B394" s="14" t="s">
        <v>12</v>
      </c>
      <c r="C394" s="15" t="s">
        <v>27</v>
      </c>
      <c r="D394" s="15" t="s">
        <v>33</v>
      </c>
      <c r="E394" s="14" t="str">
        <f ca="1">PROPER(TRIM(CLEAN(ShoeSales[[#This Row],[Brand]])))</f>
        <v>Zara</v>
      </c>
      <c r="F394" s="15" t="s">
        <v>53</v>
      </c>
      <c r="G394" s="3">
        <v>2</v>
      </c>
      <c r="H394" s="15" t="s">
        <v>30</v>
      </c>
      <c r="I394" s="5">
        <f>VLOOKUP(ShoeSales[[#This Row],[Product]],Price!$A$2:C401,2,)</f>
        <v>112</v>
      </c>
      <c r="J394" s="5">
        <f>VLOOKUP(ShoeSales[[#This Row],[Product]],Price!$A$2:C401,3,)</f>
        <v>64</v>
      </c>
      <c r="K394" s="5">
        <f>ShoeSales[[#This Row],[Quantity]]*ShoeSales[[#This Row],[Unit_price]]</f>
        <v>224</v>
      </c>
      <c r="L394" s="5">
        <f>ShoeSales[[#This Row],[Quantity]]*ShoeSales[[#This Row],[Unit_cost]]</f>
        <v>128</v>
      </c>
      <c r="M394" s="5">
        <f>ShoeSales[[#This Row],[Revenue]]-ShoeSales[[#This Row],[Total_cost]]</f>
        <v>96</v>
      </c>
      <c r="N394" s="11">
        <f>ShoeSales[[#This Row],[Profit]]/ShoeSales[[#This Row],[Revenue]]</f>
        <v>0.42857142857142855</v>
      </c>
    </row>
    <row r="395" spans="1:14" ht="14.25" customHeight="1" x14ac:dyDescent="0.25">
      <c r="A395" s="8">
        <v>46037</v>
      </c>
      <c r="B395" s="14" t="s">
        <v>5</v>
      </c>
      <c r="C395" s="16" t="s">
        <v>27</v>
      </c>
      <c r="D395" s="16" t="s">
        <v>42</v>
      </c>
      <c r="E395" s="14" t="str">
        <f ca="1">PROPER(TRIM(CLEAN(ShoeSales[[#This Row],[Brand]])))</f>
        <v>Zara</v>
      </c>
      <c r="F395" s="16" t="s">
        <v>50</v>
      </c>
      <c r="G395" s="4">
        <v>9</v>
      </c>
      <c r="H395" s="16" t="s">
        <v>32</v>
      </c>
      <c r="I395" s="5">
        <f>VLOOKUP(ShoeSales[[#This Row],[Product]],Price!$A$2:C402,2,)</f>
        <v>89</v>
      </c>
      <c r="J395" s="5">
        <f>VLOOKUP(ShoeSales[[#This Row],[Product]],Price!$A$2:C402,3,)</f>
        <v>47</v>
      </c>
      <c r="K395" s="5">
        <f>ShoeSales[[#This Row],[Quantity]]*ShoeSales[[#This Row],[Unit_price]]</f>
        <v>801</v>
      </c>
      <c r="L395" s="5">
        <f>ShoeSales[[#This Row],[Quantity]]*ShoeSales[[#This Row],[Unit_cost]]</f>
        <v>423</v>
      </c>
      <c r="M395" s="5">
        <f>ShoeSales[[#This Row],[Revenue]]-ShoeSales[[#This Row],[Total_cost]]</f>
        <v>378</v>
      </c>
      <c r="N395" s="11">
        <f>ShoeSales[[#This Row],[Profit]]/ShoeSales[[#This Row],[Revenue]]</f>
        <v>0.47191011235955055</v>
      </c>
    </row>
    <row r="396" spans="1:14" ht="14.25" customHeight="1" x14ac:dyDescent="0.25">
      <c r="A396" s="7">
        <v>46175</v>
      </c>
      <c r="B396" s="14" t="s">
        <v>15</v>
      </c>
      <c r="C396" s="15" t="s">
        <v>27</v>
      </c>
      <c r="D396" s="15" t="s">
        <v>42</v>
      </c>
      <c r="E396" s="14" t="str">
        <f ca="1">PROPER(TRIM(CLEAN(ShoeSales[[#This Row],[Brand]])))</f>
        <v>Zara</v>
      </c>
      <c r="F396" s="15" t="s">
        <v>53</v>
      </c>
      <c r="G396" s="3">
        <v>8</v>
      </c>
      <c r="H396" s="15" t="s">
        <v>32</v>
      </c>
      <c r="I396" s="5">
        <f>VLOOKUP(ShoeSales[[#This Row],[Product]],Price!$A$2:C403,2,)</f>
        <v>119</v>
      </c>
      <c r="J396" s="5">
        <f>VLOOKUP(ShoeSales[[#This Row],[Product]],Price!$A$2:C403,3,)</f>
        <v>67</v>
      </c>
      <c r="K396" s="5">
        <f>ShoeSales[[#This Row],[Quantity]]*ShoeSales[[#This Row],[Unit_price]]</f>
        <v>952</v>
      </c>
      <c r="L396" s="5">
        <f>ShoeSales[[#This Row],[Quantity]]*ShoeSales[[#This Row],[Unit_cost]]</f>
        <v>536</v>
      </c>
      <c r="M396" s="5">
        <f>ShoeSales[[#This Row],[Revenue]]-ShoeSales[[#This Row],[Total_cost]]</f>
        <v>416</v>
      </c>
      <c r="N396" s="11">
        <f>ShoeSales[[#This Row],[Profit]]/ShoeSales[[#This Row],[Revenue]]</f>
        <v>0.43697478991596639</v>
      </c>
    </row>
    <row r="397" spans="1:14" ht="14.25" customHeight="1" x14ac:dyDescent="0.25">
      <c r="A397" s="8">
        <v>46173</v>
      </c>
      <c r="B397" s="14" t="s">
        <v>8</v>
      </c>
      <c r="C397" s="16" t="s">
        <v>27</v>
      </c>
      <c r="D397" s="16" t="s">
        <v>33</v>
      </c>
      <c r="E397" s="14" t="str">
        <f ca="1">PROPER(TRIM(CLEAN(ShoeSales[[#This Row],[Brand]])))</f>
        <v>Nike</v>
      </c>
      <c r="F397" s="16" t="s">
        <v>36</v>
      </c>
      <c r="G397" s="4">
        <v>9</v>
      </c>
      <c r="H397" s="16" t="s">
        <v>30</v>
      </c>
      <c r="I397" s="5">
        <f>VLOOKUP(ShoeSales[[#This Row],[Product]],Price!$A$2:C404,2,)</f>
        <v>76</v>
      </c>
      <c r="J397" s="5">
        <f>VLOOKUP(ShoeSales[[#This Row],[Product]],Price!$A$2:C404,3,)</f>
        <v>39</v>
      </c>
      <c r="K397" s="5">
        <f>ShoeSales[[#This Row],[Quantity]]*ShoeSales[[#This Row],[Unit_price]]</f>
        <v>684</v>
      </c>
      <c r="L397" s="5">
        <f>ShoeSales[[#This Row],[Quantity]]*ShoeSales[[#This Row],[Unit_cost]]</f>
        <v>351</v>
      </c>
      <c r="M397" s="5">
        <f>ShoeSales[[#This Row],[Revenue]]-ShoeSales[[#This Row],[Total_cost]]</f>
        <v>333</v>
      </c>
      <c r="N397" s="11">
        <f>ShoeSales[[#This Row],[Profit]]/ShoeSales[[#This Row],[Revenue]]</f>
        <v>0.48684210526315791</v>
      </c>
    </row>
    <row r="398" spans="1:14" ht="14.25" customHeight="1" x14ac:dyDescent="0.25">
      <c r="A398" s="7">
        <v>46024</v>
      </c>
      <c r="B398" s="14" t="s">
        <v>8</v>
      </c>
      <c r="C398" s="15" t="s">
        <v>27</v>
      </c>
      <c r="D398" s="15" t="s">
        <v>31</v>
      </c>
      <c r="E398" s="14" t="str">
        <f ca="1">PROPER(TRIM(CLEAN(ShoeSales[[#This Row],[Brand]])))</f>
        <v>Clarks</v>
      </c>
      <c r="F398" s="15" t="s">
        <v>35</v>
      </c>
      <c r="G398" s="3">
        <v>11</v>
      </c>
      <c r="H398" s="15" t="s">
        <v>32</v>
      </c>
      <c r="I398" s="5">
        <f>VLOOKUP(ShoeSales[[#This Row],[Product]],Price!$A$2:C405,2,)</f>
        <v>76</v>
      </c>
      <c r="J398" s="5">
        <f>VLOOKUP(ShoeSales[[#This Row],[Product]],Price!$A$2:C405,3,)</f>
        <v>39</v>
      </c>
      <c r="K398" s="5">
        <f>ShoeSales[[#This Row],[Quantity]]*ShoeSales[[#This Row],[Unit_price]]</f>
        <v>836</v>
      </c>
      <c r="L398" s="5">
        <f>ShoeSales[[#This Row],[Quantity]]*ShoeSales[[#This Row],[Unit_cost]]</f>
        <v>429</v>
      </c>
      <c r="M398" s="5">
        <f>ShoeSales[[#This Row],[Revenue]]-ShoeSales[[#This Row],[Total_cost]]</f>
        <v>407</v>
      </c>
      <c r="N398" s="11">
        <f>ShoeSales[[#This Row],[Profit]]/ShoeSales[[#This Row],[Revenue]]</f>
        <v>0.48684210526315791</v>
      </c>
    </row>
    <row r="399" spans="1:14" ht="14.25" customHeight="1" x14ac:dyDescent="0.25">
      <c r="A399" s="8">
        <v>46047</v>
      </c>
      <c r="B399" s="14" t="s">
        <v>10</v>
      </c>
      <c r="C399" s="16" t="s">
        <v>37</v>
      </c>
      <c r="D399" s="16" t="s">
        <v>31</v>
      </c>
      <c r="E399" s="14" t="str">
        <f ca="1">PROPER(TRIM(CLEAN(ShoeSales[[#This Row],[Brand]])))</f>
        <v>Clarks</v>
      </c>
      <c r="F399" s="16" t="s">
        <v>53</v>
      </c>
      <c r="G399" s="4">
        <v>8</v>
      </c>
      <c r="H399" s="16" t="s">
        <v>30</v>
      </c>
      <c r="I399" s="5">
        <f>VLOOKUP(ShoeSales[[#This Row],[Product]],Price!$A$2:C406,2,)</f>
        <v>105</v>
      </c>
      <c r="J399" s="5">
        <f>VLOOKUP(ShoeSales[[#This Row],[Product]],Price!$A$2:C406,3,)</f>
        <v>58</v>
      </c>
      <c r="K399" s="5">
        <f>ShoeSales[[#This Row],[Quantity]]*ShoeSales[[#This Row],[Unit_price]]</f>
        <v>840</v>
      </c>
      <c r="L399" s="5">
        <f>ShoeSales[[#This Row],[Quantity]]*ShoeSales[[#This Row],[Unit_cost]]</f>
        <v>464</v>
      </c>
      <c r="M399" s="5">
        <f>ShoeSales[[#This Row],[Revenue]]-ShoeSales[[#This Row],[Total_cost]]</f>
        <v>376</v>
      </c>
      <c r="N399" s="11">
        <f>ShoeSales[[#This Row],[Profit]]/ShoeSales[[#This Row],[Revenue]]</f>
        <v>0.44761904761904764</v>
      </c>
    </row>
    <row r="400" spans="1:14" ht="14.25" customHeight="1" x14ac:dyDescent="0.25">
      <c r="A400" s="7">
        <v>46112</v>
      </c>
      <c r="B400" s="14" t="s">
        <v>7</v>
      </c>
      <c r="C400" s="15" t="s">
        <v>52</v>
      </c>
      <c r="D400" s="15" t="s">
        <v>33</v>
      </c>
      <c r="E400" s="14" t="str">
        <f ca="1">PROPER(TRIM(CLEAN(ShoeSales[[#This Row],[Brand]])))</f>
        <v>Zara</v>
      </c>
      <c r="F400" s="15" t="s">
        <v>46</v>
      </c>
      <c r="G400" s="3">
        <v>7</v>
      </c>
      <c r="H400" s="15" t="s">
        <v>41</v>
      </c>
      <c r="I400" s="5">
        <f>VLOOKUP(ShoeSales[[#This Row],[Product]],Price!$A$2:C407,2,)</f>
        <v>32</v>
      </c>
      <c r="J400" s="5">
        <f>VLOOKUP(ShoeSales[[#This Row],[Product]],Price!$A$2:C407,3,)</f>
        <v>14</v>
      </c>
      <c r="K400" s="5">
        <f>ShoeSales[[#This Row],[Quantity]]*ShoeSales[[#This Row],[Unit_price]]</f>
        <v>224</v>
      </c>
      <c r="L400" s="5">
        <f>ShoeSales[[#This Row],[Quantity]]*ShoeSales[[#This Row],[Unit_cost]]</f>
        <v>98</v>
      </c>
      <c r="M400" s="5">
        <f>ShoeSales[[#This Row],[Revenue]]-ShoeSales[[#This Row],[Total_cost]]</f>
        <v>126</v>
      </c>
      <c r="N400" s="11">
        <f>ShoeSales[[#This Row],[Profit]]/ShoeSales[[#This Row],[Revenue]]</f>
        <v>0.5625</v>
      </c>
    </row>
    <row r="401" spans="1:14" ht="14.25" customHeight="1" x14ac:dyDescent="0.25">
      <c r="A401" s="8">
        <v>46085</v>
      </c>
      <c r="B401" s="14" t="s">
        <v>6</v>
      </c>
      <c r="C401" s="16" t="s">
        <v>27</v>
      </c>
      <c r="D401" s="16" t="s">
        <v>28</v>
      </c>
      <c r="E401" s="14" t="str">
        <f ca="1">PROPER(TRIM(CLEAN(ShoeSales[[#This Row],[Brand]])))</f>
        <v>Steve Madden</v>
      </c>
      <c r="F401" s="16" t="s">
        <v>44</v>
      </c>
      <c r="G401" s="4">
        <v>8</v>
      </c>
      <c r="H401" s="16" t="s">
        <v>41</v>
      </c>
      <c r="I401" s="5">
        <f>VLOOKUP(ShoeSales[[#This Row],[Product]],Price!$A$2:C408,2,)</f>
        <v>54</v>
      </c>
      <c r="J401" s="5">
        <f>VLOOKUP(ShoeSales[[#This Row],[Product]],Price!$A$2:C408,3,)</f>
        <v>28</v>
      </c>
      <c r="K401" s="5">
        <f>ShoeSales[[#This Row],[Quantity]]*ShoeSales[[#This Row],[Unit_price]]</f>
        <v>432</v>
      </c>
      <c r="L401" s="5">
        <f>ShoeSales[[#This Row],[Quantity]]*ShoeSales[[#This Row],[Unit_cost]]</f>
        <v>224</v>
      </c>
      <c r="M401" s="5">
        <f>ShoeSales[[#This Row],[Revenue]]-ShoeSales[[#This Row],[Total_cost]]</f>
        <v>208</v>
      </c>
      <c r="N401" s="11">
        <f>ShoeSales[[#This Row],[Profit]]/ShoeSales[[#This Row],[Revenue]]</f>
        <v>0.48148148148148145</v>
      </c>
    </row>
    <row r="402" spans="1:14" ht="14.25" customHeight="1" x14ac:dyDescent="0.25">
      <c r="A402" s="7">
        <v>46117</v>
      </c>
      <c r="B402" s="14" t="s">
        <v>5</v>
      </c>
      <c r="C402" s="15" t="s">
        <v>37</v>
      </c>
      <c r="D402" s="15" t="s">
        <v>28</v>
      </c>
      <c r="E402" s="14" t="str">
        <f ca="1">PROPER(TRIM(CLEAN(ShoeSales[[#This Row],[Brand]])))</f>
        <v>Zara</v>
      </c>
      <c r="F402" s="15" t="s">
        <v>53</v>
      </c>
      <c r="G402" s="3">
        <v>13</v>
      </c>
      <c r="H402" s="15" t="s">
        <v>45</v>
      </c>
      <c r="I402" s="5">
        <f>VLOOKUP(ShoeSales[[#This Row],[Product]],Price!$A$2:C409,2,)</f>
        <v>89</v>
      </c>
      <c r="J402" s="5">
        <f>VLOOKUP(ShoeSales[[#This Row],[Product]],Price!$A$2:C409,3,)</f>
        <v>47</v>
      </c>
      <c r="K402" s="5">
        <f>ShoeSales[[#This Row],[Quantity]]*ShoeSales[[#This Row],[Unit_price]]</f>
        <v>1157</v>
      </c>
      <c r="L402" s="5">
        <f>ShoeSales[[#This Row],[Quantity]]*ShoeSales[[#This Row],[Unit_cost]]</f>
        <v>611</v>
      </c>
      <c r="M402" s="5">
        <f>ShoeSales[[#This Row],[Revenue]]-ShoeSales[[#This Row],[Total_cost]]</f>
        <v>546</v>
      </c>
      <c r="N402" s="11">
        <f>ShoeSales[[#This Row],[Profit]]/ShoeSales[[#This Row],[Revenue]]</f>
        <v>0.47191011235955055</v>
      </c>
    </row>
    <row r="403" spans="1:14" ht="14.25" customHeight="1" x14ac:dyDescent="0.25">
      <c r="A403" s="8">
        <v>46107</v>
      </c>
      <c r="B403" s="14" t="s">
        <v>12</v>
      </c>
      <c r="C403" s="16" t="s">
        <v>37</v>
      </c>
      <c r="D403" s="16" t="s">
        <v>42</v>
      </c>
      <c r="E403" s="14" t="str">
        <f ca="1">PROPER(TRIM(CLEAN(ShoeSales[[#This Row],[Brand]])))</f>
        <v>Zara</v>
      </c>
      <c r="F403" s="16" t="s">
        <v>29</v>
      </c>
      <c r="G403" s="4">
        <v>14</v>
      </c>
      <c r="H403" s="16" t="s">
        <v>32</v>
      </c>
      <c r="I403" s="5">
        <f>VLOOKUP(ShoeSales[[#This Row],[Product]],Price!$A$2:C410,2,)</f>
        <v>112</v>
      </c>
      <c r="J403" s="5">
        <f>VLOOKUP(ShoeSales[[#This Row],[Product]],Price!$A$2:C410,3,)</f>
        <v>64</v>
      </c>
      <c r="K403" s="5">
        <f>ShoeSales[[#This Row],[Quantity]]*ShoeSales[[#This Row],[Unit_price]]</f>
        <v>1568</v>
      </c>
      <c r="L403" s="5">
        <f>ShoeSales[[#This Row],[Quantity]]*ShoeSales[[#This Row],[Unit_cost]]</f>
        <v>896</v>
      </c>
      <c r="M403" s="5">
        <f>ShoeSales[[#This Row],[Revenue]]-ShoeSales[[#This Row],[Total_cost]]</f>
        <v>672</v>
      </c>
      <c r="N403" s="11">
        <f>ShoeSales[[#This Row],[Profit]]/ShoeSales[[#This Row],[Revenue]]</f>
        <v>0.42857142857142855</v>
      </c>
    </row>
    <row r="404" spans="1:14" ht="14.25" customHeight="1" x14ac:dyDescent="0.25">
      <c r="A404" s="7">
        <v>46142</v>
      </c>
      <c r="B404" s="14" t="s">
        <v>5</v>
      </c>
      <c r="C404" s="15" t="s">
        <v>52</v>
      </c>
      <c r="D404" s="15" t="s">
        <v>42</v>
      </c>
      <c r="E404" s="14" t="str">
        <f ca="1">PROPER(TRIM(CLEAN(ShoeSales[[#This Row],[Brand]])))</f>
        <v>Clarks</v>
      </c>
      <c r="F404" s="15" t="s">
        <v>44</v>
      </c>
      <c r="G404" s="3">
        <v>11</v>
      </c>
      <c r="H404" s="15" t="s">
        <v>45</v>
      </c>
      <c r="I404" s="5">
        <f>VLOOKUP(ShoeSales[[#This Row],[Product]],Price!$A$2:C411,2,)</f>
        <v>89</v>
      </c>
      <c r="J404" s="5">
        <f>VLOOKUP(ShoeSales[[#This Row],[Product]],Price!$A$2:C411,3,)</f>
        <v>47</v>
      </c>
      <c r="K404" s="5">
        <f>ShoeSales[[#This Row],[Quantity]]*ShoeSales[[#This Row],[Unit_price]]</f>
        <v>979</v>
      </c>
      <c r="L404" s="5">
        <f>ShoeSales[[#This Row],[Quantity]]*ShoeSales[[#This Row],[Unit_cost]]</f>
        <v>517</v>
      </c>
      <c r="M404" s="5">
        <f>ShoeSales[[#This Row],[Revenue]]-ShoeSales[[#This Row],[Total_cost]]</f>
        <v>462</v>
      </c>
      <c r="N404" s="11">
        <f>ShoeSales[[#This Row],[Profit]]/ShoeSales[[#This Row],[Revenue]]</f>
        <v>0.47191011235955055</v>
      </c>
    </row>
    <row r="405" spans="1:14" ht="14.25" customHeight="1" x14ac:dyDescent="0.25">
      <c r="A405" s="8">
        <v>46029</v>
      </c>
      <c r="B405" s="14" t="s">
        <v>8</v>
      </c>
      <c r="C405" s="16" t="s">
        <v>52</v>
      </c>
      <c r="D405" s="16" t="s">
        <v>33</v>
      </c>
      <c r="E405" s="14" t="str">
        <f ca="1">PROPER(TRIM(CLEAN(ShoeSales[[#This Row],[Brand]])))</f>
        <v>Zara</v>
      </c>
      <c r="F405" s="16" t="s">
        <v>50</v>
      </c>
      <c r="G405" s="4">
        <v>14</v>
      </c>
      <c r="H405" s="16" t="s">
        <v>32</v>
      </c>
      <c r="I405" s="5">
        <f>VLOOKUP(ShoeSales[[#This Row],[Product]],Price!$A$2:C412,2,)</f>
        <v>76</v>
      </c>
      <c r="J405" s="5">
        <f>VLOOKUP(ShoeSales[[#This Row],[Product]],Price!$A$2:C412,3,)</f>
        <v>39</v>
      </c>
      <c r="K405" s="5">
        <f>ShoeSales[[#This Row],[Quantity]]*ShoeSales[[#This Row],[Unit_price]]</f>
        <v>1064</v>
      </c>
      <c r="L405" s="5">
        <f>ShoeSales[[#This Row],[Quantity]]*ShoeSales[[#This Row],[Unit_cost]]</f>
        <v>546</v>
      </c>
      <c r="M405" s="5">
        <f>ShoeSales[[#This Row],[Revenue]]-ShoeSales[[#This Row],[Total_cost]]</f>
        <v>518</v>
      </c>
      <c r="N405" s="11">
        <f>ShoeSales[[#This Row],[Profit]]/ShoeSales[[#This Row],[Revenue]]</f>
        <v>0.48684210526315791</v>
      </c>
    </row>
    <row r="406" spans="1:14" ht="14.25" customHeight="1" x14ac:dyDescent="0.25">
      <c r="A406" s="7">
        <v>46112</v>
      </c>
      <c r="B406" s="14" t="s">
        <v>9</v>
      </c>
      <c r="C406" s="15" t="s">
        <v>27</v>
      </c>
      <c r="D406" s="15" t="s">
        <v>28</v>
      </c>
      <c r="E406" s="14" t="str">
        <f ca="1">PROPER(TRIM(CLEAN(ShoeSales[[#This Row],[Brand]])))</f>
        <v>Nike</v>
      </c>
      <c r="F406" s="15" t="s">
        <v>44</v>
      </c>
      <c r="G406" s="3">
        <v>13</v>
      </c>
      <c r="H406" s="15" t="s">
        <v>30</v>
      </c>
      <c r="I406" s="5">
        <f>VLOOKUP(ShoeSales[[#This Row],[Product]],Price!$A$2:C413,2,)</f>
        <v>128</v>
      </c>
      <c r="J406" s="5">
        <f>VLOOKUP(ShoeSales[[#This Row],[Product]],Price!$A$2:C413,3,)</f>
        <v>72</v>
      </c>
      <c r="K406" s="5">
        <f>ShoeSales[[#This Row],[Quantity]]*ShoeSales[[#This Row],[Unit_price]]</f>
        <v>1664</v>
      </c>
      <c r="L406" s="5">
        <f>ShoeSales[[#This Row],[Quantity]]*ShoeSales[[#This Row],[Unit_cost]]</f>
        <v>936</v>
      </c>
      <c r="M406" s="5">
        <f>ShoeSales[[#This Row],[Revenue]]-ShoeSales[[#This Row],[Total_cost]]</f>
        <v>728</v>
      </c>
      <c r="N406" s="11">
        <f>ShoeSales[[#This Row],[Profit]]/ShoeSales[[#This Row],[Revenue]]</f>
        <v>0.4375</v>
      </c>
    </row>
    <row r="407" spans="1:14" ht="14.25" customHeight="1" x14ac:dyDescent="0.25">
      <c r="A407" s="8">
        <v>46220</v>
      </c>
      <c r="B407" s="14" t="s">
        <v>10</v>
      </c>
      <c r="C407" s="16" t="s">
        <v>48</v>
      </c>
      <c r="D407" s="16" t="s">
        <v>31</v>
      </c>
      <c r="E407" s="14" t="str">
        <f ca="1">PROPER(TRIM(CLEAN(ShoeSales[[#This Row],[Brand]])))</f>
        <v>Nike</v>
      </c>
      <c r="F407" s="16" t="s">
        <v>39</v>
      </c>
      <c r="G407" s="4">
        <v>9</v>
      </c>
      <c r="H407" s="16" t="s">
        <v>45</v>
      </c>
      <c r="I407" s="5">
        <f>VLOOKUP(ShoeSales[[#This Row],[Product]],Price!$A$2:C414,2,)</f>
        <v>105</v>
      </c>
      <c r="J407" s="5">
        <f>VLOOKUP(ShoeSales[[#This Row],[Product]],Price!$A$2:C414,3,)</f>
        <v>58</v>
      </c>
      <c r="K407" s="5">
        <f>ShoeSales[[#This Row],[Quantity]]*ShoeSales[[#This Row],[Unit_price]]</f>
        <v>945</v>
      </c>
      <c r="L407" s="5">
        <f>ShoeSales[[#This Row],[Quantity]]*ShoeSales[[#This Row],[Unit_cost]]</f>
        <v>522</v>
      </c>
      <c r="M407" s="5">
        <f>ShoeSales[[#This Row],[Revenue]]-ShoeSales[[#This Row],[Total_cost]]</f>
        <v>423</v>
      </c>
      <c r="N407" s="11">
        <f>ShoeSales[[#This Row],[Profit]]/ShoeSales[[#This Row],[Revenue]]</f>
        <v>0.44761904761904764</v>
      </c>
    </row>
    <row r="408" spans="1:14" ht="14.25" customHeight="1" x14ac:dyDescent="0.25">
      <c r="A408" s="7">
        <v>46134</v>
      </c>
      <c r="B408" s="14" t="s">
        <v>10</v>
      </c>
      <c r="C408" s="15" t="s">
        <v>37</v>
      </c>
      <c r="D408" s="15" t="s">
        <v>42</v>
      </c>
      <c r="E408" s="14" t="str">
        <f ca="1">PROPER(TRIM(CLEAN(ShoeSales[[#This Row],[Brand]])))</f>
        <v>Timberland</v>
      </c>
      <c r="F408" s="15" t="s">
        <v>50</v>
      </c>
      <c r="G408" s="3">
        <v>6</v>
      </c>
      <c r="H408" s="15" t="s">
        <v>45</v>
      </c>
      <c r="I408" s="5">
        <f>VLOOKUP(ShoeSales[[#This Row],[Product]],Price!$A$2:C415,2,)</f>
        <v>105</v>
      </c>
      <c r="J408" s="5">
        <f>VLOOKUP(ShoeSales[[#This Row],[Product]],Price!$A$2:C415,3,)</f>
        <v>58</v>
      </c>
      <c r="K408" s="5">
        <f>ShoeSales[[#This Row],[Quantity]]*ShoeSales[[#This Row],[Unit_price]]</f>
        <v>630</v>
      </c>
      <c r="L408" s="5">
        <f>ShoeSales[[#This Row],[Quantity]]*ShoeSales[[#This Row],[Unit_cost]]</f>
        <v>348</v>
      </c>
      <c r="M408" s="5">
        <f>ShoeSales[[#This Row],[Revenue]]-ShoeSales[[#This Row],[Total_cost]]</f>
        <v>282</v>
      </c>
      <c r="N408" s="11">
        <f>ShoeSales[[#This Row],[Profit]]/ShoeSales[[#This Row],[Revenue]]</f>
        <v>0.44761904761904764</v>
      </c>
    </row>
    <row r="409" spans="1:14" ht="14.25" customHeight="1" x14ac:dyDescent="0.25">
      <c r="A409" s="8">
        <v>46210</v>
      </c>
      <c r="B409" s="14" t="s">
        <v>12</v>
      </c>
      <c r="C409" s="16" t="s">
        <v>37</v>
      </c>
      <c r="D409" s="16" t="s">
        <v>38</v>
      </c>
      <c r="E409" s="14" t="str">
        <f ca="1">PROPER(TRIM(CLEAN(ShoeSales[[#This Row],[Brand]])))</f>
        <v>Timberland</v>
      </c>
      <c r="F409" s="16" t="s">
        <v>49</v>
      </c>
      <c r="G409" s="4">
        <v>12</v>
      </c>
      <c r="H409" s="16" t="s">
        <v>41</v>
      </c>
      <c r="I409" s="5">
        <f>VLOOKUP(ShoeSales[[#This Row],[Product]],Price!$A$2:C416,2,)</f>
        <v>112</v>
      </c>
      <c r="J409" s="5">
        <f>VLOOKUP(ShoeSales[[#This Row],[Product]],Price!$A$2:C416,3,)</f>
        <v>64</v>
      </c>
      <c r="K409" s="5">
        <f>ShoeSales[[#This Row],[Quantity]]*ShoeSales[[#This Row],[Unit_price]]</f>
        <v>1344</v>
      </c>
      <c r="L409" s="5">
        <f>ShoeSales[[#This Row],[Quantity]]*ShoeSales[[#This Row],[Unit_cost]]</f>
        <v>768</v>
      </c>
      <c r="M409" s="5">
        <f>ShoeSales[[#This Row],[Revenue]]-ShoeSales[[#This Row],[Total_cost]]</f>
        <v>576</v>
      </c>
      <c r="N409" s="11">
        <f>ShoeSales[[#This Row],[Profit]]/ShoeSales[[#This Row],[Revenue]]</f>
        <v>0.42857142857142855</v>
      </c>
    </row>
    <row r="410" spans="1:14" ht="14.25" customHeight="1" x14ac:dyDescent="0.25">
      <c r="A410" s="7">
        <v>46099</v>
      </c>
      <c r="B410" s="14" t="s">
        <v>9</v>
      </c>
      <c r="C410" s="15" t="s">
        <v>52</v>
      </c>
      <c r="D410" s="15" t="s">
        <v>33</v>
      </c>
      <c r="E410" s="14" t="str">
        <f ca="1">PROPER(TRIM(CLEAN(ShoeSales[[#This Row],[Brand]])))</f>
        <v>Nike</v>
      </c>
      <c r="F410" s="15" t="s">
        <v>35</v>
      </c>
      <c r="G410" s="3">
        <v>7</v>
      </c>
      <c r="H410" s="15" t="s">
        <v>30</v>
      </c>
      <c r="I410" s="5">
        <f>VLOOKUP(ShoeSales[[#This Row],[Product]],Price!$A$2:C417,2,)</f>
        <v>128</v>
      </c>
      <c r="J410" s="5">
        <f>VLOOKUP(ShoeSales[[#This Row],[Product]],Price!$A$2:C417,3,)</f>
        <v>72</v>
      </c>
      <c r="K410" s="5">
        <f>ShoeSales[[#This Row],[Quantity]]*ShoeSales[[#This Row],[Unit_price]]</f>
        <v>896</v>
      </c>
      <c r="L410" s="5">
        <f>ShoeSales[[#This Row],[Quantity]]*ShoeSales[[#This Row],[Unit_cost]]</f>
        <v>504</v>
      </c>
      <c r="M410" s="5">
        <f>ShoeSales[[#This Row],[Revenue]]-ShoeSales[[#This Row],[Total_cost]]</f>
        <v>392</v>
      </c>
      <c r="N410" s="11">
        <f>ShoeSales[[#This Row],[Profit]]/ShoeSales[[#This Row],[Revenue]]</f>
        <v>0.4375</v>
      </c>
    </row>
    <row r="411" spans="1:14" ht="14.25" customHeight="1" x14ac:dyDescent="0.25">
      <c r="A411" s="8">
        <v>46134</v>
      </c>
      <c r="B411" s="14" t="s">
        <v>6</v>
      </c>
      <c r="C411" s="16" t="s">
        <v>37</v>
      </c>
      <c r="D411" s="16" t="s">
        <v>38</v>
      </c>
      <c r="E411" s="14" t="str">
        <f ca="1">PROPER(TRIM(CLEAN(ShoeSales[[#This Row],[Brand]])))</f>
        <v>Timberland</v>
      </c>
      <c r="F411" s="16" t="s">
        <v>29</v>
      </c>
      <c r="G411" s="4">
        <v>14</v>
      </c>
      <c r="H411" s="16" t="s">
        <v>45</v>
      </c>
      <c r="I411" s="5">
        <f>VLOOKUP(ShoeSales[[#This Row],[Product]],Price!$A$2:C418,2,)</f>
        <v>54</v>
      </c>
      <c r="J411" s="5">
        <f>VLOOKUP(ShoeSales[[#This Row],[Product]],Price!$A$2:C418,3,)</f>
        <v>28</v>
      </c>
      <c r="K411" s="5">
        <f>ShoeSales[[#This Row],[Quantity]]*ShoeSales[[#This Row],[Unit_price]]</f>
        <v>756</v>
      </c>
      <c r="L411" s="5">
        <f>ShoeSales[[#This Row],[Quantity]]*ShoeSales[[#This Row],[Unit_cost]]</f>
        <v>392</v>
      </c>
      <c r="M411" s="5">
        <f>ShoeSales[[#This Row],[Revenue]]-ShoeSales[[#This Row],[Total_cost]]</f>
        <v>364</v>
      </c>
      <c r="N411" s="11">
        <f>ShoeSales[[#This Row],[Profit]]/ShoeSales[[#This Row],[Revenue]]</f>
        <v>0.48148148148148145</v>
      </c>
    </row>
    <row r="412" spans="1:14" ht="14.25" customHeight="1" x14ac:dyDescent="0.25">
      <c r="A412" s="7">
        <v>46159</v>
      </c>
      <c r="B412" s="14" t="s">
        <v>8</v>
      </c>
      <c r="C412" s="15" t="s">
        <v>52</v>
      </c>
      <c r="D412" s="15" t="s">
        <v>38</v>
      </c>
      <c r="E412" s="14" t="str">
        <f ca="1">PROPER(TRIM(CLEAN(ShoeSales[[#This Row],[Brand]])))</f>
        <v>Clarks</v>
      </c>
      <c r="F412" s="15" t="s">
        <v>50</v>
      </c>
      <c r="G412" s="3">
        <v>8</v>
      </c>
      <c r="H412" s="15" t="s">
        <v>45</v>
      </c>
      <c r="I412" s="5">
        <f>VLOOKUP(ShoeSales[[#This Row],[Product]],Price!$A$2:C419,2,)</f>
        <v>76</v>
      </c>
      <c r="J412" s="5">
        <f>VLOOKUP(ShoeSales[[#This Row],[Product]],Price!$A$2:C419,3,)</f>
        <v>39</v>
      </c>
      <c r="K412" s="5">
        <f>ShoeSales[[#This Row],[Quantity]]*ShoeSales[[#This Row],[Unit_price]]</f>
        <v>608</v>
      </c>
      <c r="L412" s="5">
        <f>ShoeSales[[#This Row],[Quantity]]*ShoeSales[[#This Row],[Unit_cost]]</f>
        <v>312</v>
      </c>
      <c r="M412" s="5">
        <f>ShoeSales[[#This Row],[Revenue]]-ShoeSales[[#This Row],[Total_cost]]</f>
        <v>296</v>
      </c>
      <c r="N412" s="11">
        <f>ShoeSales[[#This Row],[Profit]]/ShoeSales[[#This Row],[Revenue]]</f>
        <v>0.48684210526315791</v>
      </c>
    </row>
    <row r="413" spans="1:14" ht="14.25" customHeight="1" x14ac:dyDescent="0.25">
      <c r="A413" s="8">
        <v>46067</v>
      </c>
      <c r="B413" s="14" t="s">
        <v>10</v>
      </c>
      <c r="C413" s="16" t="s">
        <v>27</v>
      </c>
      <c r="D413" s="16" t="s">
        <v>28</v>
      </c>
      <c r="E413" s="14" t="str">
        <f ca="1">PROPER(TRIM(CLEAN(ShoeSales[[#This Row],[Brand]])))</f>
        <v>Zara</v>
      </c>
      <c r="F413" s="16" t="s">
        <v>47</v>
      </c>
      <c r="G413" s="4">
        <v>3</v>
      </c>
      <c r="H413" s="16" t="s">
        <v>30</v>
      </c>
      <c r="I413" s="5">
        <f>VLOOKUP(ShoeSales[[#This Row],[Product]],Price!$A$2:C420,2,)</f>
        <v>105</v>
      </c>
      <c r="J413" s="5">
        <f>VLOOKUP(ShoeSales[[#This Row],[Product]],Price!$A$2:C420,3,)</f>
        <v>58</v>
      </c>
      <c r="K413" s="5">
        <f>ShoeSales[[#This Row],[Quantity]]*ShoeSales[[#This Row],[Unit_price]]</f>
        <v>315</v>
      </c>
      <c r="L413" s="5">
        <f>ShoeSales[[#This Row],[Quantity]]*ShoeSales[[#This Row],[Unit_cost]]</f>
        <v>174</v>
      </c>
      <c r="M413" s="5">
        <f>ShoeSales[[#This Row],[Revenue]]-ShoeSales[[#This Row],[Total_cost]]</f>
        <v>141</v>
      </c>
      <c r="N413" s="11">
        <f>ShoeSales[[#This Row],[Profit]]/ShoeSales[[#This Row],[Revenue]]</f>
        <v>0.44761904761904764</v>
      </c>
    </row>
    <row r="414" spans="1:14" ht="14.25" customHeight="1" x14ac:dyDescent="0.25">
      <c r="A414" s="7">
        <v>46213</v>
      </c>
      <c r="B414" s="14" t="s">
        <v>8</v>
      </c>
      <c r="C414" s="15" t="s">
        <v>27</v>
      </c>
      <c r="D414" s="15" t="s">
        <v>28</v>
      </c>
      <c r="E414" s="14" t="str">
        <f ca="1">PROPER(TRIM(CLEAN(ShoeSales[[#This Row],[Brand]])))</f>
        <v>Zara</v>
      </c>
      <c r="F414" s="15" t="s">
        <v>43</v>
      </c>
      <c r="G414" s="3">
        <v>15</v>
      </c>
      <c r="H414" s="15" t="s">
        <v>45</v>
      </c>
      <c r="I414" s="5">
        <f>VLOOKUP(ShoeSales[[#This Row],[Product]],Price!$A$2:C421,2,)</f>
        <v>76</v>
      </c>
      <c r="J414" s="5">
        <f>VLOOKUP(ShoeSales[[#This Row],[Product]],Price!$A$2:C421,3,)</f>
        <v>39</v>
      </c>
      <c r="K414" s="5">
        <f>ShoeSales[[#This Row],[Quantity]]*ShoeSales[[#This Row],[Unit_price]]</f>
        <v>1140</v>
      </c>
      <c r="L414" s="5">
        <f>ShoeSales[[#This Row],[Quantity]]*ShoeSales[[#This Row],[Unit_cost]]</f>
        <v>585</v>
      </c>
      <c r="M414" s="5">
        <f>ShoeSales[[#This Row],[Revenue]]-ShoeSales[[#This Row],[Total_cost]]</f>
        <v>555</v>
      </c>
      <c r="N414" s="11">
        <f>ShoeSales[[#This Row],[Profit]]/ShoeSales[[#This Row],[Revenue]]</f>
        <v>0.48684210526315791</v>
      </c>
    </row>
    <row r="415" spans="1:14" ht="14.25" customHeight="1" x14ac:dyDescent="0.25">
      <c r="A415" s="8">
        <v>46110</v>
      </c>
      <c r="B415" s="14" t="s">
        <v>10</v>
      </c>
      <c r="C415" s="16" t="s">
        <v>37</v>
      </c>
      <c r="D415" s="16" t="s">
        <v>42</v>
      </c>
      <c r="E415" s="14" t="str">
        <f ca="1">PROPER(TRIM(CLEAN(ShoeSales[[#This Row],[Brand]])))</f>
        <v>Steve Madden</v>
      </c>
      <c r="F415" s="16" t="s">
        <v>39</v>
      </c>
      <c r="G415" s="4">
        <v>5</v>
      </c>
      <c r="H415" s="16" t="s">
        <v>32</v>
      </c>
      <c r="I415" s="5">
        <f>VLOOKUP(ShoeSales[[#This Row],[Product]],Price!$A$2:C422,2,)</f>
        <v>105</v>
      </c>
      <c r="J415" s="5">
        <f>VLOOKUP(ShoeSales[[#This Row],[Product]],Price!$A$2:C422,3,)</f>
        <v>58</v>
      </c>
      <c r="K415" s="5">
        <f>ShoeSales[[#This Row],[Quantity]]*ShoeSales[[#This Row],[Unit_price]]</f>
        <v>525</v>
      </c>
      <c r="L415" s="5">
        <f>ShoeSales[[#This Row],[Quantity]]*ShoeSales[[#This Row],[Unit_cost]]</f>
        <v>290</v>
      </c>
      <c r="M415" s="5">
        <f>ShoeSales[[#This Row],[Revenue]]-ShoeSales[[#This Row],[Total_cost]]</f>
        <v>235</v>
      </c>
      <c r="N415" s="11">
        <f>ShoeSales[[#This Row],[Profit]]/ShoeSales[[#This Row],[Revenue]]</f>
        <v>0.44761904761904764</v>
      </c>
    </row>
    <row r="416" spans="1:14" ht="14.25" customHeight="1" x14ac:dyDescent="0.25">
      <c r="A416" s="7">
        <v>46148</v>
      </c>
      <c r="B416" s="14" t="s">
        <v>10</v>
      </c>
      <c r="C416" s="15" t="s">
        <v>37</v>
      </c>
      <c r="D416" s="15" t="s">
        <v>33</v>
      </c>
      <c r="E416" s="14" t="str">
        <f ca="1">PROPER(TRIM(CLEAN(ShoeSales[[#This Row],[Brand]])))</f>
        <v>Clarks</v>
      </c>
      <c r="F416" s="15" t="s">
        <v>36</v>
      </c>
      <c r="G416" s="3">
        <v>2</v>
      </c>
      <c r="H416" s="15" t="s">
        <v>32</v>
      </c>
      <c r="I416" s="5">
        <f>VLOOKUP(ShoeSales[[#This Row],[Product]],Price!$A$2:C423,2,)</f>
        <v>105</v>
      </c>
      <c r="J416" s="5">
        <f>VLOOKUP(ShoeSales[[#This Row],[Product]],Price!$A$2:C423,3,)</f>
        <v>58</v>
      </c>
      <c r="K416" s="5">
        <f>ShoeSales[[#This Row],[Quantity]]*ShoeSales[[#This Row],[Unit_price]]</f>
        <v>210</v>
      </c>
      <c r="L416" s="5">
        <f>ShoeSales[[#This Row],[Quantity]]*ShoeSales[[#This Row],[Unit_cost]]</f>
        <v>116</v>
      </c>
      <c r="M416" s="5">
        <f>ShoeSales[[#This Row],[Revenue]]-ShoeSales[[#This Row],[Total_cost]]</f>
        <v>94</v>
      </c>
      <c r="N416" s="11">
        <f>ShoeSales[[#This Row],[Profit]]/ShoeSales[[#This Row],[Revenue]]</f>
        <v>0.44761904761904764</v>
      </c>
    </row>
    <row r="417" spans="1:14" ht="14.25" customHeight="1" x14ac:dyDescent="0.25">
      <c r="A417" s="8">
        <v>46134</v>
      </c>
      <c r="B417" s="14" t="s">
        <v>9</v>
      </c>
      <c r="C417" s="16" t="s">
        <v>48</v>
      </c>
      <c r="D417" s="16" t="s">
        <v>31</v>
      </c>
      <c r="E417" s="14" t="str">
        <f ca="1">PROPER(TRIM(CLEAN(ShoeSales[[#This Row],[Brand]])))</f>
        <v>Zara</v>
      </c>
      <c r="F417" s="16" t="s">
        <v>35</v>
      </c>
      <c r="G417" s="4">
        <v>14</v>
      </c>
      <c r="H417" s="16" t="s">
        <v>41</v>
      </c>
      <c r="I417" s="5">
        <f>VLOOKUP(ShoeSales[[#This Row],[Product]],Price!$A$2:C424,2,)</f>
        <v>128</v>
      </c>
      <c r="J417" s="5">
        <f>VLOOKUP(ShoeSales[[#This Row],[Product]],Price!$A$2:C424,3,)</f>
        <v>72</v>
      </c>
      <c r="K417" s="5">
        <f>ShoeSales[[#This Row],[Quantity]]*ShoeSales[[#This Row],[Unit_price]]</f>
        <v>1792</v>
      </c>
      <c r="L417" s="5">
        <f>ShoeSales[[#This Row],[Quantity]]*ShoeSales[[#This Row],[Unit_cost]]</f>
        <v>1008</v>
      </c>
      <c r="M417" s="5">
        <f>ShoeSales[[#This Row],[Revenue]]-ShoeSales[[#This Row],[Total_cost]]</f>
        <v>784</v>
      </c>
      <c r="N417" s="11">
        <f>ShoeSales[[#This Row],[Profit]]/ShoeSales[[#This Row],[Revenue]]</f>
        <v>0.4375</v>
      </c>
    </row>
    <row r="418" spans="1:14" ht="14.25" customHeight="1" x14ac:dyDescent="0.25">
      <c r="A418" s="7">
        <v>46077</v>
      </c>
      <c r="B418" s="14" t="s">
        <v>9</v>
      </c>
      <c r="C418" s="15" t="s">
        <v>27</v>
      </c>
      <c r="D418" s="15" t="s">
        <v>42</v>
      </c>
      <c r="E418" s="14" t="str">
        <f ca="1">PROPER(TRIM(CLEAN(ShoeSales[[#This Row],[Brand]])))</f>
        <v>Timberland</v>
      </c>
      <c r="F418" s="15" t="s">
        <v>34</v>
      </c>
      <c r="G418" s="3">
        <v>5</v>
      </c>
      <c r="H418" s="15" t="s">
        <v>30</v>
      </c>
      <c r="I418" s="5">
        <f>VLOOKUP(ShoeSales[[#This Row],[Product]],Price!$A$2:C425,2,)</f>
        <v>128</v>
      </c>
      <c r="J418" s="5">
        <f>VLOOKUP(ShoeSales[[#This Row],[Product]],Price!$A$2:C425,3,)</f>
        <v>72</v>
      </c>
      <c r="K418" s="5">
        <f>ShoeSales[[#This Row],[Quantity]]*ShoeSales[[#This Row],[Unit_price]]</f>
        <v>640</v>
      </c>
      <c r="L418" s="5">
        <f>ShoeSales[[#This Row],[Quantity]]*ShoeSales[[#This Row],[Unit_cost]]</f>
        <v>360</v>
      </c>
      <c r="M418" s="5">
        <f>ShoeSales[[#This Row],[Revenue]]-ShoeSales[[#This Row],[Total_cost]]</f>
        <v>280</v>
      </c>
      <c r="N418" s="11">
        <f>ShoeSales[[#This Row],[Profit]]/ShoeSales[[#This Row],[Revenue]]</f>
        <v>0.4375</v>
      </c>
    </row>
    <row r="419" spans="1:14" ht="14.25" customHeight="1" x14ac:dyDescent="0.25">
      <c r="A419" s="8">
        <v>46155</v>
      </c>
      <c r="B419" s="14" t="s">
        <v>12</v>
      </c>
      <c r="C419" s="16" t="s">
        <v>27</v>
      </c>
      <c r="D419" s="16" t="s">
        <v>38</v>
      </c>
      <c r="E419" s="14" t="str">
        <f ca="1">PROPER(TRIM(CLEAN(ShoeSales[[#This Row],[Brand]])))</f>
        <v>Clarks</v>
      </c>
      <c r="F419" s="16" t="s">
        <v>46</v>
      </c>
      <c r="G419" s="4">
        <v>13</v>
      </c>
      <c r="H419" s="16" t="s">
        <v>45</v>
      </c>
      <c r="I419" s="5">
        <f>VLOOKUP(ShoeSales[[#This Row],[Product]],Price!$A$2:C426,2,)</f>
        <v>112</v>
      </c>
      <c r="J419" s="5">
        <f>VLOOKUP(ShoeSales[[#This Row],[Product]],Price!$A$2:C426,3,)</f>
        <v>64</v>
      </c>
      <c r="K419" s="5">
        <f>ShoeSales[[#This Row],[Quantity]]*ShoeSales[[#This Row],[Unit_price]]</f>
        <v>1456</v>
      </c>
      <c r="L419" s="5">
        <f>ShoeSales[[#This Row],[Quantity]]*ShoeSales[[#This Row],[Unit_cost]]</f>
        <v>832</v>
      </c>
      <c r="M419" s="5">
        <f>ShoeSales[[#This Row],[Revenue]]-ShoeSales[[#This Row],[Total_cost]]</f>
        <v>624</v>
      </c>
      <c r="N419" s="11">
        <f>ShoeSales[[#This Row],[Profit]]/ShoeSales[[#This Row],[Revenue]]</f>
        <v>0.42857142857142855</v>
      </c>
    </row>
    <row r="420" spans="1:14" ht="14.25" customHeight="1" x14ac:dyDescent="0.25">
      <c r="A420" s="7">
        <v>46172</v>
      </c>
      <c r="B420" s="14" t="s">
        <v>9</v>
      </c>
      <c r="C420" s="15" t="s">
        <v>27</v>
      </c>
      <c r="D420" s="15" t="s">
        <v>33</v>
      </c>
      <c r="E420" s="14" t="str">
        <f ca="1">PROPER(TRIM(CLEAN(ShoeSales[[#This Row],[Brand]])))</f>
        <v>Timberland</v>
      </c>
      <c r="F420" s="15" t="s">
        <v>36</v>
      </c>
      <c r="G420" s="3">
        <v>3</v>
      </c>
      <c r="H420" s="15" t="s">
        <v>30</v>
      </c>
      <c r="I420" s="5">
        <f>VLOOKUP(ShoeSales[[#This Row],[Product]],Price!$A$2:C427,2,)</f>
        <v>128</v>
      </c>
      <c r="J420" s="5">
        <f>VLOOKUP(ShoeSales[[#This Row],[Product]],Price!$A$2:C427,3,)</f>
        <v>72</v>
      </c>
      <c r="K420" s="5">
        <f>ShoeSales[[#This Row],[Quantity]]*ShoeSales[[#This Row],[Unit_price]]</f>
        <v>384</v>
      </c>
      <c r="L420" s="5">
        <f>ShoeSales[[#This Row],[Quantity]]*ShoeSales[[#This Row],[Unit_cost]]</f>
        <v>216</v>
      </c>
      <c r="M420" s="5">
        <f>ShoeSales[[#This Row],[Revenue]]-ShoeSales[[#This Row],[Total_cost]]</f>
        <v>168</v>
      </c>
      <c r="N420" s="11">
        <f>ShoeSales[[#This Row],[Profit]]/ShoeSales[[#This Row],[Revenue]]</f>
        <v>0.4375</v>
      </c>
    </row>
    <row r="421" spans="1:14" ht="14.25" customHeight="1" x14ac:dyDescent="0.25">
      <c r="A421" s="8">
        <v>46087</v>
      </c>
      <c r="B421" s="14" t="s">
        <v>15</v>
      </c>
      <c r="C421" s="16" t="s">
        <v>27</v>
      </c>
      <c r="D421" s="16" t="s">
        <v>33</v>
      </c>
      <c r="E421" s="14" t="str">
        <f ca="1">PROPER(TRIM(CLEAN(ShoeSales[[#This Row],[Brand]])))</f>
        <v>Clarks</v>
      </c>
      <c r="F421" s="16" t="s">
        <v>51</v>
      </c>
      <c r="G421" s="4">
        <v>8</v>
      </c>
      <c r="H421" s="16" t="s">
        <v>32</v>
      </c>
      <c r="I421" s="5">
        <f>VLOOKUP(ShoeSales[[#This Row],[Product]],Price!$A$2:C428,2,)</f>
        <v>119</v>
      </c>
      <c r="J421" s="5">
        <f>VLOOKUP(ShoeSales[[#This Row],[Product]],Price!$A$2:C428,3,)</f>
        <v>67</v>
      </c>
      <c r="K421" s="5">
        <f>ShoeSales[[#This Row],[Quantity]]*ShoeSales[[#This Row],[Unit_price]]</f>
        <v>952</v>
      </c>
      <c r="L421" s="5">
        <f>ShoeSales[[#This Row],[Quantity]]*ShoeSales[[#This Row],[Unit_cost]]</f>
        <v>536</v>
      </c>
      <c r="M421" s="5">
        <f>ShoeSales[[#This Row],[Revenue]]-ShoeSales[[#This Row],[Total_cost]]</f>
        <v>416</v>
      </c>
      <c r="N421" s="11">
        <f>ShoeSales[[#This Row],[Profit]]/ShoeSales[[#This Row],[Revenue]]</f>
        <v>0.43697478991596639</v>
      </c>
    </row>
    <row r="422" spans="1:14" ht="14.25" customHeight="1" x14ac:dyDescent="0.25">
      <c r="A422" s="7">
        <v>46235</v>
      </c>
      <c r="B422" s="14" t="s">
        <v>15</v>
      </c>
      <c r="C422" s="15" t="s">
        <v>37</v>
      </c>
      <c r="D422" s="15" t="s">
        <v>28</v>
      </c>
      <c r="E422" s="14" t="str">
        <f ca="1">PROPER(TRIM(CLEAN(ShoeSales[[#This Row],[Brand]])))</f>
        <v>Clarks</v>
      </c>
      <c r="F422" s="15" t="s">
        <v>51</v>
      </c>
      <c r="G422" s="3">
        <v>1</v>
      </c>
      <c r="H422" s="15" t="s">
        <v>45</v>
      </c>
      <c r="I422" s="5">
        <f>VLOOKUP(ShoeSales[[#This Row],[Product]],Price!$A$2:C429,2,)</f>
        <v>119</v>
      </c>
      <c r="J422" s="5">
        <f>VLOOKUP(ShoeSales[[#This Row],[Product]],Price!$A$2:C429,3,)</f>
        <v>67</v>
      </c>
      <c r="K422" s="5">
        <f>ShoeSales[[#This Row],[Quantity]]*ShoeSales[[#This Row],[Unit_price]]</f>
        <v>119</v>
      </c>
      <c r="L422" s="5">
        <f>ShoeSales[[#This Row],[Quantity]]*ShoeSales[[#This Row],[Unit_cost]]</f>
        <v>67</v>
      </c>
      <c r="M422" s="5">
        <f>ShoeSales[[#This Row],[Revenue]]-ShoeSales[[#This Row],[Total_cost]]</f>
        <v>52</v>
      </c>
      <c r="N422" s="11">
        <f>ShoeSales[[#This Row],[Profit]]/ShoeSales[[#This Row],[Revenue]]</f>
        <v>0.43697478991596639</v>
      </c>
    </row>
    <row r="423" spans="1:14" ht="14.25" customHeight="1" x14ac:dyDescent="0.25">
      <c r="A423" s="8">
        <v>46052</v>
      </c>
      <c r="B423" s="14" t="s">
        <v>7</v>
      </c>
      <c r="C423" s="16" t="s">
        <v>48</v>
      </c>
      <c r="D423" s="16" t="s">
        <v>38</v>
      </c>
      <c r="E423" s="14" t="str">
        <f ca="1">PROPER(TRIM(CLEAN(ShoeSales[[#This Row],[Brand]])))</f>
        <v>Steve Madden</v>
      </c>
      <c r="F423" s="16" t="s">
        <v>36</v>
      </c>
      <c r="G423" s="4">
        <v>5</v>
      </c>
      <c r="H423" s="16" t="s">
        <v>41</v>
      </c>
      <c r="I423" s="5">
        <f>VLOOKUP(ShoeSales[[#This Row],[Product]],Price!$A$2:C430,2,)</f>
        <v>32</v>
      </c>
      <c r="J423" s="5">
        <f>VLOOKUP(ShoeSales[[#This Row],[Product]],Price!$A$2:C430,3,)</f>
        <v>14</v>
      </c>
      <c r="K423" s="5">
        <f>ShoeSales[[#This Row],[Quantity]]*ShoeSales[[#This Row],[Unit_price]]</f>
        <v>160</v>
      </c>
      <c r="L423" s="5">
        <f>ShoeSales[[#This Row],[Quantity]]*ShoeSales[[#This Row],[Unit_cost]]</f>
        <v>70</v>
      </c>
      <c r="M423" s="5">
        <f>ShoeSales[[#This Row],[Revenue]]-ShoeSales[[#This Row],[Total_cost]]</f>
        <v>90</v>
      </c>
      <c r="N423" s="11">
        <f>ShoeSales[[#This Row],[Profit]]/ShoeSales[[#This Row],[Revenue]]</f>
        <v>0.5625</v>
      </c>
    </row>
    <row r="424" spans="1:14" ht="14.25" customHeight="1" x14ac:dyDescent="0.25">
      <c r="A424" s="7">
        <v>46208</v>
      </c>
      <c r="B424" s="14" t="s">
        <v>15</v>
      </c>
      <c r="C424" s="15" t="s">
        <v>48</v>
      </c>
      <c r="D424" s="15" t="s">
        <v>33</v>
      </c>
      <c r="E424" s="14" t="str">
        <f ca="1">PROPER(TRIM(CLEAN(ShoeSales[[#This Row],[Brand]])))</f>
        <v>Zara</v>
      </c>
      <c r="F424" s="15" t="s">
        <v>46</v>
      </c>
      <c r="G424" s="3">
        <v>8</v>
      </c>
      <c r="H424" s="15" t="s">
        <v>30</v>
      </c>
      <c r="I424" s="5">
        <f>VLOOKUP(ShoeSales[[#This Row],[Product]],Price!$A$2:C431,2,)</f>
        <v>119</v>
      </c>
      <c r="J424" s="5">
        <f>VLOOKUP(ShoeSales[[#This Row],[Product]],Price!$A$2:C431,3,)</f>
        <v>67</v>
      </c>
      <c r="K424" s="5">
        <f>ShoeSales[[#This Row],[Quantity]]*ShoeSales[[#This Row],[Unit_price]]</f>
        <v>952</v>
      </c>
      <c r="L424" s="5">
        <f>ShoeSales[[#This Row],[Quantity]]*ShoeSales[[#This Row],[Unit_cost]]</f>
        <v>536</v>
      </c>
      <c r="M424" s="5">
        <f>ShoeSales[[#This Row],[Revenue]]-ShoeSales[[#This Row],[Total_cost]]</f>
        <v>416</v>
      </c>
      <c r="N424" s="11">
        <f>ShoeSales[[#This Row],[Profit]]/ShoeSales[[#This Row],[Revenue]]</f>
        <v>0.43697478991596639</v>
      </c>
    </row>
    <row r="425" spans="1:14" ht="14.25" customHeight="1" x14ac:dyDescent="0.25">
      <c r="A425" s="8">
        <v>46134</v>
      </c>
      <c r="B425" s="14" t="s">
        <v>7</v>
      </c>
      <c r="C425" s="16" t="s">
        <v>27</v>
      </c>
      <c r="D425" s="16" t="s">
        <v>38</v>
      </c>
      <c r="E425" s="14" t="str">
        <f ca="1">PROPER(TRIM(CLEAN(ShoeSales[[#This Row],[Brand]])))</f>
        <v>Steve Madden</v>
      </c>
      <c r="F425" s="16" t="s">
        <v>40</v>
      </c>
      <c r="G425" s="4">
        <v>4</v>
      </c>
      <c r="H425" s="16" t="s">
        <v>32</v>
      </c>
      <c r="I425" s="5">
        <f>VLOOKUP(ShoeSales[[#This Row],[Product]],Price!$A$2:C432,2,)</f>
        <v>32</v>
      </c>
      <c r="J425" s="5">
        <f>VLOOKUP(ShoeSales[[#This Row],[Product]],Price!$A$2:C432,3,)</f>
        <v>14</v>
      </c>
      <c r="K425" s="5">
        <f>ShoeSales[[#This Row],[Quantity]]*ShoeSales[[#This Row],[Unit_price]]</f>
        <v>128</v>
      </c>
      <c r="L425" s="5">
        <f>ShoeSales[[#This Row],[Quantity]]*ShoeSales[[#This Row],[Unit_cost]]</f>
        <v>56</v>
      </c>
      <c r="M425" s="5">
        <f>ShoeSales[[#This Row],[Revenue]]-ShoeSales[[#This Row],[Total_cost]]</f>
        <v>72</v>
      </c>
      <c r="N425" s="11">
        <f>ShoeSales[[#This Row],[Profit]]/ShoeSales[[#This Row],[Revenue]]</f>
        <v>0.5625</v>
      </c>
    </row>
    <row r="426" spans="1:14" ht="14.25" customHeight="1" x14ac:dyDescent="0.25">
      <c r="A426" s="7">
        <v>46202</v>
      </c>
      <c r="B426" s="14" t="s">
        <v>5</v>
      </c>
      <c r="C426" s="15" t="s">
        <v>48</v>
      </c>
      <c r="D426" s="15" t="s">
        <v>38</v>
      </c>
      <c r="E426" s="14" t="str">
        <f ca="1">PROPER(TRIM(CLEAN(ShoeSales[[#This Row],[Brand]])))</f>
        <v>Clarks</v>
      </c>
      <c r="F426" s="15" t="s">
        <v>36</v>
      </c>
      <c r="G426" s="3">
        <v>4</v>
      </c>
      <c r="H426" s="15" t="s">
        <v>32</v>
      </c>
      <c r="I426" s="5">
        <f>VLOOKUP(ShoeSales[[#This Row],[Product]],Price!$A$2:C433,2,)</f>
        <v>89</v>
      </c>
      <c r="J426" s="5">
        <f>VLOOKUP(ShoeSales[[#This Row],[Product]],Price!$A$2:C433,3,)</f>
        <v>47</v>
      </c>
      <c r="K426" s="5">
        <f>ShoeSales[[#This Row],[Quantity]]*ShoeSales[[#This Row],[Unit_price]]</f>
        <v>356</v>
      </c>
      <c r="L426" s="5">
        <f>ShoeSales[[#This Row],[Quantity]]*ShoeSales[[#This Row],[Unit_cost]]</f>
        <v>188</v>
      </c>
      <c r="M426" s="5">
        <f>ShoeSales[[#This Row],[Revenue]]-ShoeSales[[#This Row],[Total_cost]]</f>
        <v>168</v>
      </c>
      <c r="N426" s="11">
        <f>ShoeSales[[#This Row],[Profit]]/ShoeSales[[#This Row],[Revenue]]</f>
        <v>0.47191011235955055</v>
      </c>
    </row>
    <row r="427" spans="1:14" ht="14.25" customHeight="1" x14ac:dyDescent="0.25">
      <c r="A427" s="8">
        <v>46154</v>
      </c>
      <c r="B427" s="14" t="s">
        <v>12</v>
      </c>
      <c r="C427" s="16" t="s">
        <v>48</v>
      </c>
      <c r="D427" s="16" t="s">
        <v>31</v>
      </c>
      <c r="E427" s="14" t="str">
        <f ca="1">PROPER(TRIM(CLEAN(ShoeSales[[#This Row],[Brand]])))</f>
        <v>Steve Madden</v>
      </c>
      <c r="F427" s="16" t="s">
        <v>50</v>
      </c>
      <c r="G427" s="4">
        <v>10</v>
      </c>
      <c r="H427" s="16" t="s">
        <v>32</v>
      </c>
      <c r="I427" s="5">
        <f>VLOOKUP(ShoeSales[[#This Row],[Product]],Price!$A$2:C434,2,)</f>
        <v>112</v>
      </c>
      <c r="J427" s="5">
        <f>VLOOKUP(ShoeSales[[#This Row],[Product]],Price!$A$2:C434,3,)</f>
        <v>64</v>
      </c>
      <c r="K427" s="5">
        <f>ShoeSales[[#This Row],[Quantity]]*ShoeSales[[#This Row],[Unit_price]]</f>
        <v>1120</v>
      </c>
      <c r="L427" s="5">
        <f>ShoeSales[[#This Row],[Quantity]]*ShoeSales[[#This Row],[Unit_cost]]</f>
        <v>640</v>
      </c>
      <c r="M427" s="5">
        <f>ShoeSales[[#This Row],[Revenue]]-ShoeSales[[#This Row],[Total_cost]]</f>
        <v>480</v>
      </c>
      <c r="N427" s="11">
        <f>ShoeSales[[#This Row],[Profit]]/ShoeSales[[#This Row],[Revenue]]</f>
        <v>0.42857142857142855</v>
      </c>
    </row>
    <row r="428" spans="1:14" ht="14.25" customHeight="1" x14ac:dyDescent="0.25">
      <c r="A428" s="7">
        <v>46062</v>
      </c>
      <c r="B428" s="14" t="s">
        <v>12</v>
      </c>
      <c r="C428" s="15" t="s">
        <v>27</v>
      </c>
      <c r="D428" s="15" t="s">
        <v>28</v>
      </c>
      <c r="E428" s="14" t="str">
        <f ca="1">PROPER(TRIM(CLEAN(ShoeSales[[#This Row],[Brand]])))</f>
        <v>Zara</v>
      </c>
      <c r="F428" s="15" t="s">
        <v>29</v>
      </c>
      <c r="G428" s="3">
        <v>8</v>
      </c>
      <c r="H428" s="15" t="s">
        <v>41</v>
      </c>
      <c r="I428" s="5">
        <f>VLOOKUP(ShoeSales[[#This Row],[Product]],Price!$A$2:C435,2,)</f>
        <v>112</v>
      </c>
      <c r="J428" s="5">
        <f>VLOOKUP(ShoeSales[[#This Row],[Product]],Price!$A$2:C435,3,)</f>
        <v>64</v>
      </c>
      <c r="K428" s="5">
        <f>ShoeSales[[#This Row],[Quantity]]*ShoeSales[[#This Row],[Unit_price]]</f>
        <v>896</v>
      </c>
      <c r="L428" s="5">
        <f>ShoeSales[[#This Row],[Quantity]]*ShoeSales[[#This Row],[Unit_cost]]</f>
        <v>512</v>
      </c>
      <c r="M428" s="5">
        <f>ShoeSales[[#This Row],[Revenue]]-ShoeSales[[#This Row],[Total_cost]]</f>
        <v>384</v>
      </c>
      <c r="N428" s="11">
        <f>ShoeSales[[#This Row],[Profit]]/ShoeSales[[#This Row],[Revenue]]</f>
        <v>0.42857142857142855</v>
      </c>
    </row>
    <row r="429" spans="1:14" ht="14.25" customHeight="1" x14ac:dyDescent="0.25">
      <c r="A429" s="8">
        <v>46108</v>
      </c>
      <c r="B429" s="14" t="s">
        <v>5</v>
      </c>
      <c r="C429" s="16" t="s">
        <v>48</v>
      </c>
      <c r="D429" s="16" t="s">
        <v>33</v>
      </c>
      <c r="E429" s="14" t="str">
        <f ca="1">PROPER(TRIM(CLEAN(ShoeSales[[#This Row],[Brand]])))</f>
        <v>Nike</v>
      </c>
      <c r="F429" s="16" t="s">
        <v>36</v>
      </c>
      <c r="G429" s="4">
        <v>5</v>
      </c>
      <c r="H429" s="16" t="s">
        <v>30</v>
      </c>
      <c r="I429" s="5">
        <f>VLOOKUP(ShoeSales[[#This Row],[Product]],Price!$A$2:C436,2,)</f>
        <v>89</v>
      </c>
      <c r="J429" s="5">
        <f>VLOOKUP(ShoeSales[[#This Row],[Product]],Price!$A$2:C436,3,)</f>
        <v>47</v>
      </c>
      <c r="K429" s="5">
        <f>ShoeSales[[#This Row],[Quantity]]*ShoeSales[[#This Row],[Unit_price]]</f>
        <v>445</v>
      </c>
      <c r="L429" s="5">
        <f>ShoeSales[[#This Row],[Quantity]]*ShoeSales[[#This Row],[Unit_cost]]</f>
        <v>235</v>
      </c>
      <c r="M429" s="5">
        <f>ShoeSales[[#This Row],[Revenue]]-ShoeSales[[#This Row],[Total_cost]]</f>
        <v>210</v>
      </c>
      <c r="N429" s="11">
        <f>ShoeSales[[#This Row],[Profit]]/ShoeSales[[#This Row],[Revenue]]</f>
        <v>0.47191011235955055</v>
      </c>
    </row>
    <row r="430" spans="1:14" ht="14.25" customHeight="1" x14ac:dyDescent="0.25">
      <c r="A430" s="7">
        <v>46106</v>
      </c>
      <c r="B430" s="14" t="s">
        <v>12</v>
      </c>
      <c r="C430" s="15" t="s">
        <v>48</v>
      </c>
      <c r="D430" s="15" t="s">
        <v>28</v>
      </c>
      <c r="E430" s="14" t="str">
        <f ca="1">PROPER(TRIM(CLEAN(ShoeSales[[#This Row],[Brand]])))</f>
        <v>Timberland</v>
      </c>
      <c r="F430" s="15" t="s">
        <v>53</v>
      </c>
      <c r="G430" s="3">
        <v>2</v>
      </c>
      <c r="H430" s="15" t="s">
        <v>32</v>
      </c>
      <c r="I430" s="5">
        <f>VLOOKUP(ShoeSales[[#This Row],[Product]],Price!$A$2:C437,2,)</f>
        <v>112</v>
      </c>
      <c r="J430" s="5">
        <f>VLOOKUP(ShoeSales[[#This Row],[Product]],Price!$A$2:C437,3,)</f>
        <v>64</v>
      </c>
      <c r="K430" s="5">
        <f>ShoeSales[[#This Row],[Quantity]]*ShoeSales[[#This Row],[Unit_price]]</f>
        <v>224</v>
      </c>
      <c r="L430" s="5">
        <f>ShoeSales[[#This Row],[Quantity]]*ShoeSales[[#This Row],[Unit_cost]]</f>
        <v>128</v>
      </c>
      <c r="M430" s="5">
        <f>ShoeSales[[#This Row],[Revenue]]-ShoeSales[[#This Row],[Total_cost]]</f>
        <v>96</v>
      </c>
      <c r="N430" s="11">
        <f>ShoeSales[[#This Row],[Profit]]/ShoeSales[[#This Row],[Revenue]]</f>
        <v>0.42857142857142855</v>
      </c>
    </row>
    <row r="431" spans="1:14" ht="14.25" customHeight="1" x14ac:dyDescent="0.25">
      <c r="A431" s="8">
        <v>46209</v>
      </c>
      <c r="B431" s="14" t="s">
        <v>9</v>
      </c>
      <c r="C431" s="16" t="s">
        <v>48</v>
      </c>
      <c r="D431" s="16" t="s">
        <v>28</v>
      </c>
      <c r="E431" s="14" t="str">
        <f ca="1">PROPER(TRIM(CLEAN(ShoeSales[[#This Row],[Brand]])))</f>
        <v>Timberland</v>
      </c>
      <c r="F431" s="16" t="s">
        <v>53</v>
      </c>
      <c r="G431" s="4">
        <v>6</v>
      </c>
      <c r="H431" s="16" t="s">
        <v>45</v>
      </c>
      <c r="I431" s="5">
        <f>VLOOKUP(ShoeSales[[#This Row],[Product]],Price!$A$2:C438,2,)</f>
        <v>128</v>
      </c>
      <c r="J431" s="5">
        <f>VLOOKUP(ShoeSales[[#This Row],[Product]],Price!$A$2:C438,3,)</f>
        <v>72</v>
      </c>
      <c r="K431" s="5">
        <f>ShoeSales[[#This Row],[Quantity]]*ShoeSales[[#This Row],[Unit_price]]</f>
        <v>768</v>
      </c>
      <c r="L431" s="5">
        <f>ShoeSales[[#This Row],[Quantity]]*ShoeSales[[#This Row],[Unit_cost]]</f>
        <v>432</v>
      </c>
      <c r="M431" s="5">
        <f>ShoeSales[[#This Row],[Revenue]]-ShoeSales[[#This Row],[Total_cost]]</f>
        <v>336</v>
      </c>
      <c r="N431" s="11">
        <f>ShoeSales[[#This Row],[Profit]]/ShoeSales[[#This Row],[Revenue]]</f>
        <v>0.4375</v>
      </c>
    </row>
    <row r="432" spans="1:14" ht="14.25" customHeight="1" x14ac:dyDescent="0.25">
      <c r="A432" s="7">
        <v>46247</v>
      </c>
      <c r="B432" s="14" t="s">
        <v>12</v>
      </c>
      <c r="C432" s="15" t="s">
        <v>48</v>
      </c>
      <c r="D432" s="15" t="s">
        <v>38</v>
      </c>
      <c r="E432" s="14" t="str">
        <f ca="1">PROPER(TRIM(CLEAN(ShoeSales[[#This Row],[Brand]])))</f>
        <v>Steve Madden</v>
      </c>
      <c r="F432" s="15" t="s">
        <v>47</v>
      </c>
      <c r="G432" s="3">
        <v>7</v>
      </c>
      <c r="H432" s="15" t="s">
        <v>41</v>
      </c>
      <c r="I432" s="5">
        <f>VLOOKUP(ShoeSales[[#This Row],[Product]],Price!$A$2:C439,2,)</f>
        <v>112</v>
      </c>
      <c r="J432" s="5">
        <f>VLOOKUP(ShoeSales[[#This Row],[Product]],Price!$A$2:C439,3,)</f>
        <v>64</v>
      </c>
      <c r="K432" s="5">
        <f>ShoeSales[[#This Row],[Quantity]]*ShoeSales[[#This Row],[Unit_price]]</f>
        <v>784</v>
      </c>
      <c r="L432" s="5">
        <f>ShoeSales[[#This Row],[Quantity]]*ShoeSales[[#This Row],[Unit_cost]]</f>
        <v>448</v>
      </c>
      <c r="M432" s="5">
        <f>ShoeSales[[#This Row],[Revenue]]-ShoeSales[[#This Row],[Total_cost]]</f>
        <v>336</v>
      </c>
      <c r="N432" s="11">
        <f>ShoeSales[[#This Row],[Profit]]/ShoeSales[[#This Row],[Revenue]]</f>
        <v>0.42857142857142855</v>
      </c>
    </row>
    <row r="433" spans="1:14" ht="14.25" customHeight="1" x14ac:dyDescent="0.25">
      <c r="A433" s="8">
        <v>46201</v>
      </c>
      <c r="B433" s="14" t="s">
        <v>8</v>
      </c>
      <c r="C433" s="16" t="s">
        <v>27</v>
      </c>
      <c r="D433" s="16" t="s">
        <v>33</v>
      </c>
      <c r="E433" s="14" t="str">
        <f ca="1">PROPER(TRIM(CLEAN(ShoeSales[[#This Row],[Brand]])))</f>
        <v>Zara</v>
      </c>
      <c r="F433" s="16" t="s">
        <v>43</v>
      </c>
      <c r="G433" s="4">
        <v>3</v>
      </c>
      <c r="H433" s="16" t="s">
        <v>32</v>
      </c>
      <c r="I433" s="5">
        <f>VLOOKUP(ShoeSales[[#This Row],[Product]],Price!$A$2:C440,2,)</f>
        <v>76</v>
      </c>
      <c r="J433" s="5">
        <f>VLOOKUP(ShoeSales[[#This Row],[Product]],Price!$A$2:C440,3,)</f>
        <v>39</v>
      </c>
      <c r="K433" s="5">
        <f>ShoeSales[[#This Row],[Quantity]]*ShoeSales[[#This Row],[Unit_price]]</f>
        <v>228</v>
      </c>
      <c r="L433" s="5">
        <f>ShoeSales[[#This Row],[Quantity]]*ShoeSales[[#This Row],[Unit_cost]]</f>
        <v>117</v>
      </c>
      <c r="M433" s="5">
        <f>ShoeSales[[#This Row],[Revenue]]-ShoeSales[[#This Row],[Total_cost]]</f>
        <v>111</v>
      </c>
      <c r="N433" s="11">
        <f>ShoeSales[[#This Row],[Profit]]/ShoeSales[[#This Row],[Revenue]]</f>
        <v>0.48684210526315791</v>
      </c>
    </row>
    <row r="434" spans="1:14" ht="14.25" customHeight="1" x14ac:dyDescent="0.25">
      <c r="A434" s="7">
        <v>46080</v>
      </c>
      <c r="B434" s="14" t="s">
        <v>5</v>
      </c>
      <c r="C434" s="15" t="s">
        <v>27</v>
      </c>
      <c r="D434" s="15" t="s">
        <v>42</v>
      </c>
      <c r="E434" s="14" t="str">
        <f ca="1">PROPER(TRIM(CLEAN(ShoeSales[[#This Row],[Brand]])))</f>
        <v>Clarks</v>
      </c>
      <c r="F434" s="15" t="s">
        <v>53</v>
      </c>
      <c r="G434" s="3">
        <v>5</v>
      </c>
      <c r="H434" s="15" t="s">
        <v>30</v>
      </c>
      <c r="I434" s="5">
        <f>VLOOKUP(ShoeSales[[#This Row],[Product]],Price!$A$2:C441,2,)</f>
        <v>89</v>
      </c>
      <c r="J434" s="5">
        <f>VLOOKUP(ShoeSales[[#This Row],[Product]],Price!$A$2:C441,3,)</f>
        <v>47</v>
      </c>
      <c r="K434" s="5">
        <f>ShoeSales[[#This Row],[Quantity]]*ShoeSales[[#This Row],[Unit_price]]</f>
        <v>445</v>
      </c>
      <c r="L434" s="5">
        <f>ShoeSales[[#This Row],[Quantity]]*ShoeSales[[#This Row],[Unit_cost]]</f>
        <v>235</v>
      </c>
      <c r="M434" s="5">
        <f>ShoeSales[[#This Row],[Revenue]]-ShoeSales[[#This Row],[Total_cost]]</f>
        <v>210</v>
      </c>
      <c r="N434" s="11">
        <f>ShoeSales[[#This Row],[Profit]]/ShoeSales[[#This Row],[Revenue]]</f>
        <v>0.47191011235955055</v>
      </c>
    </row>
    <row r="435" spans="1:14" ht="14.25" customHeight="1" x14ac:dyDescent="0.25">
      <c r="A435" s="8">
        <v>46074</v>
      </c>
      <c r="B435" s="14" t="s">
        <v>7</v>
      </c>
      <c r="C435" s="16" t="s">
        <v>52</v>
      </c>
      <c r="D435" s="16" t="s">
        <v>33</v>
      </c>
      <c r="E435" s="14" t="str">
        <f ca="1">PROPER(TRIM(CLEAN(ShoeSales[[#This Row],[Brand]])))</f>
        <v>Clarks</v>
      </c>
      <c r="F435" s="16" t="s">
        <v>40</v>
      </c>
      <c r="G435" s="4">
        <v>3</v>
      </c>
      <c r="H435" s="16" t="s">
        <v>30</v>
      </c>
      <c r="I435" s="5">
        <f>VLOOKUP(ShoeSales[[#This Row],[Product]],Price!$A$2:C442,2,)</f>
        <v>32</v>
      </c>
      <c r="J435" s="5">
        <f>VLOOKUP(ShoeSales[[#This Row],[Product]],Price!$A$2:C442,3,)</f>
        <v>14</v>
      </c>
      <c r="K435" s="5">
        <f>ShoeSales[[#This Row],[Quantity]]*ShoeSales[[#This Row],[Unit_price]]</f>
        <v>96</v>
      </c>
      <c r="L435" s="5">
        <f>ShoeSales[[#This Row],[Quantity]]*ShoeSales[[#This Row],[Unit_cost]]</f>
        <v>42</v>
      </c>
      <c r="M435" s="5">
        <f>ShoeSales[[#This Row],[Revenue]]-ShoeSales[[#This Row],[Total_cost]]</f>
        <v>54</v>
      </c>
      <c r="N435" s="11">
        <f>ShoeSales[[#This Row],[Profit]]/ShoeSales[[#This Row],[Revenue]]</f>
        <v>0.5625</v>
      </c>
    </row>
    <row r="436" spans="1:14" ht="14.25" customHeight="1" x14ac:dyDescent="0.25">
      <c r="A436" s="7">
        <v>46086</v>
      </c>
      <c r="B436" s="14" t="s">
        <v>12</v>
      </c>
      <c r="C436" s="15" t="s">
        <v>52</v>
      </c>
      <c r="D436" s="15" t="s">
        <v>28</v>
      </c>
      <c r="E436" s="14" t="str">
        <f ca="1">PROPER(TRIM(CLEAN(ShoeSales[[#This Row],[Brand]])))</f>
        <v>Timberland</v>
      </c>
      <c r="F436" s="15" t="s">
        <v>47</v>
      </c>
      <c r="G436" s="3">
        <v>7</v>
      </c>
      <c r="H436" s="15" t="s">
        <v>41</v>
      </c>
      <c r="I436" s="5">
        <f>VLOOKUP(ShoeSales[[#This Row],[Product]],Price!$A$2:C443,2,)</f>
        <v>112</v>
      </c>
      <c r="J436" s="5">
        <f>VLOOKUP(ShoeSales[[#This Row],[Product]],Price!$A$2:C443,3,)</f>
        <v>64</v>
      </c>
      <c r="K436" s="5">
        <f>ShoeSales[[#This Row],[Quantity]]*ShoeSales[[#This Row],[Unit_price]]</f>
        <v>784</v>
      </c>
      <c r="L436" s="5">
        <f>ShoeSales[[#This Row],[Quantity]]*ShoeSales[[#This Row],[Unit_cost]]</f>
        <v>448</v>
      </c>
      <c r="M436" s="5">
        <f>ShoeSales[[#This Row],[Revenue]]-ShoeSales[[#This Row],[Total_cost]]</f>
        <v>336</v>
      </c>
      <c r="N436" s="11">
        <f>ShoeSales[[#This Row],[Profit]]/ShoeSales[[#This Row],[Revenue]]</f>
        <v>0.42857142857142855</v>
      </c>
    </row>
    <row r="437" spans="1:14" ht="14.25" customHeight="1" x14ac:dyDescent="0.25">
      <c r="A437" s="8">
        <v>46144</v>
      </c>
      <c r="B437" s="14" t="s">
        <v>7</v>
      </c>
      <c r="C437" s="16" t="s">
        <v>48</v>
      </c>
      <c r="D437" s="16" t="s">
        <v>42</v>
      </c>
      <c r="E437" s="14" t="str">
        <f ca="1">PROPER(TRIM(CLEAN(ShoeSales[[#This Row],[Brand]])))</f>
        <v>Clarks</v>
      </c>
      <c r="F437" s="16" t="s">
        <v>43</v>
      </c>
      <c r="G437" s="4">
        <v>3</v>
      </c>
      <c r="H437" s="16" t="s">
        <v>30</v>
      </c>
      <c r="I437" s="5">
        <f>VLOOKUP(ShoeSales[[#This Row],[Product]],Price!$A$2:C444,2,)</f>
        <v>32</v>
      </c>
      <c r="J437" s="5">
        <f>VLOOKUP(ShoeSales[[#This Row],[Product]],Price!$A$2:C444,3,)</f>
        <v>14</v>
      </c>
      <c r="K437" s="5">
        <f>ShoeSales[[#This Row],[Quantity]]*ShoeSales[[#This Row],[Unit_price]]</f>
        <v>96</v>
      </c>
      <c r="L437" s="5">
        <f>ShoeSales[[#This Row],[Quantity]]*ShoeSales[[#This Row],[Unit_cost]]</f>
        <v>42</v>
      </c>
      <c r="M437" s="5">
        <f>ShoeSales[[#This Row],[Revenue]]-ShoeSales[[#This Row],[Total_cost]]</f>
        <v>54</v>
      </c>
      <c r="N437" s="11">
        <f>ShoeSales[[#This Row],[Profit]]/ShoeSales[[#This Row],[Revenue]]</f>
        <v>0.5625</v>
      </c>
    </row>
    <row r="438" spans="1:14" ht="14.25" customHeight="1" x14ac:dyDescent="0.25">
      <c r="A438" s="7">
        <v>46162</v>
      </c>
      <c r="B438" s="14" t="s">
        <v>9</v>
      </c>
      <c r="C438" s="15" t="s">
        <v>27</v>
      </c>
      <c r="D438" s="15" t="s">
        <v>33</v>
      </c>
      <c r="E438" s="14" t="str">
        <f ca="1">PROPER(TRIM(CLEAN(ShoeSales[[#This Row],[Brand]])))</f>
        <v>Clarks</v>
      </c>
      <c r="F438" s="15" t="s">
        <v>47</v>
      </c>
      <c r="G438" s="3">
        <v>8</v>
      </c>
      <c r="H438" s="15" t="s">
        <v>41</v>
      </c>
      <c r="I438" s="5">
        <f>VLOOKUP(ShoeSales[[#This Row],[Product]],Price!$A$2:C445,2,)</f>
        <v>128</v>
      </c>
      <c r="J438" s="5">
        <f>VLOOKUP(ShoeSales[[#This Row],[Product]],Price!$A$2:C445,3,)</f>
        <v>72</v>
      </c>
      <c r="K438" s="5">
        <f>ShoeSales[[#This Row],[Quantity]]*ShoeSales[[#This Row],[Unit_price]]</f>
        <v>1024</v>
      </c>
      <c r="L438" s="5">
        <f>ShoeSales[[#This Row],[Quantity]]*ShoeSales[[#This Row],[Unit_cost]]</f>
        <v>576</v>
      </c>
      <c r="M438" s="5">
        <f>ShoeSales[[#This Row],[Revenue]]-ShoeSales[[#This Row],[Total_cost]]</f>
        <v>448</v>
      </c>
      <c r="N438" s="11">
        <f>ShoeSales[[#This Row],[Profit]]/ShoeSales[[#This Row],[Revenue]]</f>
        <v>0.4375</v>
      </c>
    </row>
    <row r="439" spans="1:14" ht="14.25" customHeight="1" x14ac:dyDescent="0.25">
      <c r="A439" s="8">
        <v>46105</v>
      </c>
      <c r="B439" s="14" t="s">
        <v>7</v>
      </c>
      <c r="C439" s="16" t="s">
        <v>48</v>
      </c>
      <c r="D439" s="16" t="s">
        <v>28</v>
      </c>
      <c r="E439" s="14" t="str">
        <f ca="1">PROPER(TRIM(CLEAN(ShoeSales[[#This Row],[Brand]])))</f>
        <v>Zara</v>
      </c>
      <c r="F439" s="16" t="s">
        <v>49</v>
      </c>
      <c r="G439" s="4">
        <v>3</v>
      </c>
      <c r="H439" s="16" t="s">
        <v>32</v>
      </c>
      <c r="I439" s="5">
        <f>VLOOKUP(ShoeSales[[#This Row],[Product]],Price!$A$2:C446,2,)</f>
        <v>32</v>
      </c>
      <c r="J439" s="5">
        <f>VLOOKUP(ShoeSales[[#This Row],[Product]],Price!$A$2:C446,3,)</f>
        <v>14</v>
      </c>
      <c r="K439" s="5">
        <f>ShoeSales[[#This Row],[Quantity]]*ShoeSales[[#This Row],[Unit_price]]</f>
        <v>96</v>
      </c>
      <c r="L439" s="5">
        <f>ShoeSales[[#This Row],[Quantity]]*ShoeSales[[#This Row],[Unit_cost]]</f>
        <v>42</v>
      </c>
      <c r="M439" s="5">
        <f>ShoeSales[[#This Row],[Revenue]]-ShoeSales[[#This Row],[Total_cost]]</f>
        <v>54</v>
      </c>
      <c r="N439" s="11">
        <f>ShoeSales[[#This Row],[Profit]]/ShoeSales[[#This Row],[Revenue]]</f>
        <v>0.5625</v>
      </c>
    </row>
    <row r="440" spans="1:14" ht="14.25" customHeight="1" x14ac:dyDescent="0.25">
      <c r="A440" s="7">
        <v>46175</v>
      </c>
      <c r="B440" s="14" t="s">
        <v>15</v>
      </c>
      <c r="C440" s="15" t="s">
        <v>37</v>
      </c>
      <c r="D440" s="15" t="s">
        <v>38</v>
      </c>
      <c r="E440" s="14" t="str">
        <f ca="1">PROPER(TRIM(CLEAN(ShoeSales[[#This Row],[Brand]])))</f>
        <v>Steve Madden</v>
      </c>
      <c r="F440" s="15" t="s">
        <v>40</v>
      </c>
      <c r="G440" s="3">
        <v>5</v>
      </c>
      <c r="H440" s="15" t="s">
        <v>41</v>
      </c>
      <c r="I440" s="5">
        <f>VLOOKUP(ShoeSales[[#This Row],[Product]],Price!$A$2:C447,2,)</f>
        <v>119</v>
      </c>
      <c r="J440" s="5">
        <f>VLOOKUP(ShoeSales[[#This Row],[Product]],Price!$A$2:C447,3,)</f>
        <v>67</v>
      </c>
      <c r="K440" s="5">
        <f>ShoeSales[[#This Row],[Quantity]]*ShoeSales[[#This Row],[Unit_price]]</f>
        <v>595</v>
      </c>
      <c r="L440" s="5">
        <f>ShoeSales[[#This Row],[Quantity]]*ShoeSales[[#This Row],[Unit_cost]]</f>
        <v>335</v>
      </c>
      <c r="M440" s="5">
        <f>ShoeSales[[#This Row],[Revenue]]-ShoeSales[[#This Row],[Total_cost]]</f>
        <v>260</v>
      </c>
      <c r="N440" s="11">
        <f>ShoeSales[[#This Row],[Profit]]/ShoeSales[[#This Row],[Revenue]]</f>
        <v>0.43697478991596639</v>
      </c>
    </row>
    <row r="441" spans="1:14" ht="14.25" customHeight="1" x14ac:dyDescent="0.25">
      <c r="A441" s="8">
        <v>46126</v>
      </c>
      <c r="B441" s="14" t="s">
        <v>5</v>
      </c>
      <c r="C441" s="16" t="s">
        <v>48</v>
      </c>
      <c r="D441" s="16" t="s">
        <v>28</v>
      </c>
      <c r="E441" s="14" t="str">
        <f ca="1">PROPER(TRIM(CLEAN(ShoeSales[[#This Row],[Brand]])))</f>
        <v>Clarks</v>
      </c>
      <c r="F441" s="16" t="s">
        <v>47</v>
      </c>
      <c r="G441" s="4">
        <v>3</v>
      </c>
      <c r="H441" s="16" t="s">
        <v>45</v>
      </c>
      <c r="I441" s="5">
        <f>VLOOKUP(ShoeSales[[#This Row],[Product]],Price!$A$2:C448,2,)</f>
        <v>89</v>
      </c>
      <c r="J441" s="5">
        <f>VLOOKUP(ShoeSales[[#This Row],[Product]],Price!$A$2:C448,3,)</f>
        <v>47</v>
      </c>
      <c r="K441" s="5">
        <f>ShoeSales[[#This Row],[Quantity]]*ShoeSales[[#This Row],[Unit_price]]</f>
        <v>267</v>
      </c>
      <c r="L441" s="5">
        <f>ShoeSales[[#This Row],[Quantity]]*ShoeSales[[#This Row],[Unit_cost]]</f>
        <v>141</v>
      </c>
      <c r="M441" s="5">
        <f>ShoeSales[[#This Row],[Revenue]]-ShoeSales[[#This Row],[Total_cost]]</f>
        <v>126</v>
      </c>
      <c r="N441" s="11">
        <f>ShoeSales[[#This Row],[Profit]]/ShoeSales[[#This Row],[Revenue]]</f>
        <v>0.47191011235955055</v>
      </c>
    </row>
    <row r="442" spans="1:14" ht="14.25" customHeight="1" x14ac:dyDescent="0.25">
      <c r="A442" s="7">
        <v>46189</v>
      </c>
      <c r="B442" s="14" t="s">
        <v>10</v>
      </c>
      <c r="C442" s="15" t="s">
        <v>27</v>
      </c>
      <c r="D442" s="15" t="s">
        <v>31</v>
      </c>
      <c r="E442" s="14" t="str">
        <f ca="1">PROPER(TRIM(CLEAN(ShoeSales[[#This Row],[Brand]])))</f>
        <v>Clarks</v>
      </c>
      <c r="F442" s="15" t="s">
        <v>53</v>
      </c>
      <c r="G442" s="3">
        <v>13</v>
      </c>
      <c r="H442" s="15" t="s">
        <v>32</v>
      </c>
      <c r="I442" s="5">
        <f>VLOOKUP(ShoeSales[[#This Row],[Product]],Price!$A$2:C449,2,)</f>
        <v>105</v>
      </c>
      <c r="J442" s="5">
        <f>VLOOKUP(ShoeSales[[#This Row],[Product]],Price!$A$2:C449,3,)</f>
        <v>58</v>
      </c>
      <c r="K442" s="5">
        <f>ShoeSales[[#This Row],[Quantity]]*ShoeSales[[#This Row],[Unit_price]]</f>
        <v>1365</v>
      </c>
      <c r="L442" s="5">
        <f>ShoeSales[[#This Row],[Quantity]]*ShoeSales[[#This Row],[Unit_cost]]</f>
        <v>754</v>
      </c>
      <c r="M442" s="5">
        <f>ShoeSales[[#This Row],[Revenue]]-ShoeSales[[#This Row],[Total_cost]]</f>
        <v>611</v>
      </c>
      <c r="N442" s="11">
        <f>ShoeSales[[#This Row],[Profit]]/ShoeSales[[#This Row],[Revenue]]</f>
        <v>0.44761904761904764</v>
      </c>
    </row>
    <row r="443" spans="1:14" ht="14.25" customHeight="1" x14ac:dyDescent="0.25">
      <c r="A443" s="8">
        <v>46023</v>
      </c>
      <c r="B443" s="14" t="s">
        <v>8</v>
      </c>
      <c r="C443" s="16" t="s">
        <v>48</v>
      </c>
      <c r="D443" s="16" t="s">
        <v>28</v>
      </c>
      <c r="E443" s="14" t="str">
        <f ca="1">PROPER(TRIM(CLEAN(ShoeSales[[#This Row],[Brand]])))</f>
        <v>Clarks</v>
      </c>
      <c r="F443" s="16" t="s">
        <v>46</v>
      </c>
      <c r="G443" s="4">
        <v>12</v>
      </c>
      <c r="H443" s="16" t="s">
        <v>41</v>
      </c>
      <c r="I443" s="5">
        <f>VLOOKUP(ShoeSales[[#This Row],[Product]],Price!$A$2:C450,2,)</f>
        <v>76</v>
      </c>
      <c r="J443" s="5">
        <f>VLOOKUP(ShoeSales[[#This Row],[Product]],Price!$A$2:C450,3,)</f>
        <v>39</v>
      </c>
      <c r="K443" s="5">
        <f>ShoeSales[[#This Row],[Quantity]]*ShoeSales[[#This Row],[Unit_price]]</f>
        <v>912</v>
      </c>
      <c r="L443" s="5">
        <f>ShoeSales[[#This Row],[Quantity]]*ShoeSales[[#This Row],[Unit_cost]]</f>
        <v>468</v>
      </c>
      <c r="M443" s="5">
        <f>ShoeSales[[#This Row],[Revenue]]-ShoeSales[[#This Row],[Total_cost]]</f>
        <v>444</v>
      </c>
      <c r="N443" s="11">
        <f>ShoeSales[[#This Row],[Profit]]/ShoeSales[[#This Row],[Revenue]]</f>
        <v>0.48684210526315791</v>
      </c>
    </row>
    <row r="444" spans="1:14" ht="14.25" customHeight="1" x14ac:dyDescent="0.25">
      <c r="A444" s="7">
        <v>46207</v>
      </c>
      <c r="B444" s="14" t="s">
        <v>5</v>
      </c>
      <c r="C444" s="15" t="s">
        <v>48</v>
      </c>
      <c r="D444" s="15" t="s">
        <v>31</v>
      </c>
      <c r="E444" s="14" t="str">
        <f ca="1">PROPER(TRIM(CLEAN(ShoeSales[[#This Row],[Brand]])))</f>
        <v>Clarks</v>
      </c>
      <c r="F444" s="15" t="s">
        <v>40</v>
      </c>
      <c r="G444" s="3">
        <v>3</v>
      </c>
      <c r="H444" s="15" t="s">
        <v>32</v>
      </c>
      <c r="I444" s="5">
        <f>VLOOKUP(ShoeSales[[#This Row],[Product]],Price!$A$2:C451,2,)</f>
        <v>89</v>
      </c>
      <c r="J444" s="5">
        <f>VLOOKUP(ShoeSales[[#This Row],[Product]],Price!$A$2:C451,3,)</f>
        <v>47</v>
      </c>
      <c r="K444" s="5">
        <f>ShoeSales[[#This Row],[Quantity]]*ShoeSales[[#This Row],[Unit_price]]</f>
        <v>267</v>
      </c>
      <c r="L444" s="5">
        <f>ShoeSales[[#This Row],[Quantity]]*ShoeSales[[#This Row],[Unit_cost]]</f>
        <v>141</v>
      </c>
      <c r="M444" s="5">
        <f>ShoeSales[[#This Row],[Revenue]]-ShoeSales[[#This Row],[Total_cost]]</f>
        <v>126</v>
      </c>
      <c r="N444" s="11">
        <f>ShoeSales[[#This Row],[Profit]]/ShoeSales[[#This Row],[Revenue]]</f>
        <v>0.47191011235955055</v>
      </c>
    </row>
    <row r="445" spans="1:14" ht="14.25" customHeight="1" x14ac:dyDescent="0.25">
      <c r="A445" s="8">
        <v>46188</v>
      </c>
      <c r="B445" s="14" t="s">
        <v>10</v>
      </c>
      <c r="C445" s="16" t="s">
        <v>52</v>
      </c>
      <c r="D445" s="16" t="s">
        <v>42</v>
      </c>
      <c r="E445" s="14" t="str">
        <f ca="1">PROPER(TRIM(CLEAN(ShoeSales[[#This Row],[Brand]])))</f>
        <v>Clarks</v>
      </c>
      <c r="F445" s="16" t="s">
        <v>35</v>
      </c>
      <c r="G445" s="4">
        <v>2</v>
      </c>
      <c r="H445" s="16" t="s">
        <v>41</v>
      </c>
      <c r="I445" s="5">
        <f>VLOOKUP(ShoeSales[[#This Row],[Product]],Price!$A$2:C452,2,)</f>
        <v>105</v>
      </c>
      <c r="J445" s="5">
        <f>VLOOKUP(ShoeSales[[#This Row],[Product]],Price!$A$2:C452,3,)</f>
        <v>58</v>
      </c>
      <c r="K445" s="5">
        <f>ShoeSales[[#This Row],[Quantity]]*ShoeSales[[#This Row],[Unit_price]]</f>
        <v>210</v>
      </c>
      <c r="L445" s="5">
        <f>ShoeSales[[#This Row],[Quantity]]*ShoeSales[[#This Row],[Unit_cost]]</f>
        <v>116</v>
      </c>
      <c r="M445" s="5">
        <f>ShoeSales[[#This Row],[Revenue]]-ShoeSales[[#This Row],[Total_cost]]</f>
        <v>94</v>
      </c>
      <c r="N445" s="11">
        <f>ShoeSales[[#This Row],[Profit]]/ShoeSales[[#This Row],[Revenue]]</f>
        <v>0.44761904761904764</v>
      </c>
    </row>
    <row r="446" spans="1:14" ht="14.25" customHeight="1" x14ac:dyDescent="0.25">
      <c r="A446" s="7">
        <v>46178</v>
      </c>
      <c r="B446" s="14" t="s">
        <v>9</v>
      </c>
      <c r="C446" s="15" t="s">
        <v>27</v>
      </c>
      <c r="D446" s="15" t="s">
        <v>31</v>
      </c>
      <c r="E446" s="14" t="str">
        <f ca="1">PROPER(TRIM(CLEAN(ShoeSales[[#This Row],[Brand]])))</f>
        <v>Zara</v>
      </c>
      <c r="F446" s="15" t="s">
        <v>44</v>
      </c>
      <c r="G446" s="3">
        <v>14</v>
      </c>
      <c r="H446" s="15" t="s">
        <v>41</v>
      </c>
      <c r="I446" s="5">
        <f>VLOOKUP(ShoeSales[[#This Row],[Product]],Price!$A$2:C453,2,)</f>
        <v>128</v>
      </c>
      <c r="J446" s="5">
        <f>VLOOKUP(ShoeSales[[#This Row],[Product]],Price!$A$2:C453,3,)</f>
        <v>72</v>
      </c>
      <c r="K446" s="5">
        <f>ShoeSales[[#This Row],[Quantity]]*ShoeSales[[#This Row],[Unit_price]]</f>
        <v>1792</v>
      </c>
      <c r="L446" s="5">
        <f>ShoeSales[[#This Row],[Quantity]]*ShoeSales[[#This Row],[Unit_cost]]</f>
        <v>1008</v>
      </c>
      <c r="M446" s="5">
        <f>ShoeSales[[#This Row],[Revenue]]-ShoeSales[[#This Row],[Total_cost]]</f>
        <v>784</v>
      </c>
      <c r="N446" s="11">
        <f>ShoeSales[[#This Row],[Profit]]/ShoeSales[[#This Row],[Revenue]]</f>
        <v>0.4375</v>
      </c>
    </row>
    <row r="447" spans="1:14" ht="14.25" customHeight="1" x14ac:dyDescent="0.25">
      <c r="A447" s="8">
        <v>46193</v>
      </c>
      <c r="B447" s="14" t="s">
        <v>12</v>
      </c>
      <c r="C447" s="16" t="s">
        <v>27</v>
      </c>
      <c r="D447" s="16" t="s">
        <v>28</v>
      </c>
      <c r="E447" s="14" t="str">
        <f ca="1">PROPER(TRIM(CLEAN(ShoeSales[[#This Row],[Brand]])))</f>
        <v>Clarks</v>
      </c>
      <c r="F447" s="16" t="s">
        <v>40</v>
      </c>
      <c r="G447" s="4">
        <v>4</v>
      </c>
      <c r="H447" s="16" t="s">
        <v>45</v>
      </c>
      <c r="I447" s="5">
        <f>VLOOKUP(ShoeSales[[#This Row],[Product]],Price!$A$2:C454,2,)</f>
        <v>112</v>
      </c>
      <c r="J447" s="5">
        <f>VLOOKUP(ShoeSales[[#This Row],[Product]],Price!$A$2:C454,3,)</f>
        <v>64</v>
      </c>
      <c r="K447" s="5">
        <f>ShoeSales[[#This Row],[Quantity]]*ShoeSales[[#This Row],[Unit_price]]</f>
        <v>448</v>
      </c>
      <c r="L447" s="5">
        <f>ShoeSales[[#This Row],[Quantity]]*ShoeSales[[#This Row],[Unit_cost]]</f>
        <v>256</v>
      </c>
      <c r="M447" s="5">
        <f>ShoeSales[[#This Row],[Revenue]]-ShoeSales[[#This Row],[Total_cost]]</f>
        <v>192</v>
      </c>
      <c r="N447" s="11">
        <f>ShoeSales[[#This Row],[Profit]]/ShoeSales[[#This Row],[Revenue]]</f>
        <v>0.42857142857142855</v>
      </c>
    </row>
    <row r="448" spans="1:14" ht="14.25" customHeight="1" x14ac:dyDescent="0.25">
      <c r="A448" s="7">
        <v>46215</v>
      </c>
      <c r="B448" s="14" t="s">
        <v>6</v>
      </c>
      <c r="C448" s="15" t="s">
        <v>27</v>
      </c>
      <c r="D448" s="15" t="s">
        <v>28</v>
      </c>
      <c r="E448" s="14" t="str">
        <f ca="1">PROPER(TRIM(CLEAN(ShoeSales[[#This Row],[Brand]])))</f>
        <v>Nike</v>
      </c>
      <c r="F448" s="15" t="s">
        <v>29</v>
      </c>
      <c r="G448" s="3">
        <v>4</v>
      </c>
      <c r="H448" s="15" t="s">
        <v>41</v>
      </c>
      <c r="I448" s="5">
        <f>VLOOKUP(ShoeSales[[#This Row],[Product]],Price!$A$2:C455,2,)</f>
        <v>54</v>
      </c>
      <c r="J448" s="5">
        <f>VLOOKUP(ShoeSales[[#This Row],[Product]],Price!$A$2:C455,3,)</f>
        <v>28</v>
      </c>
      <c r="K448" s="5">
        <f>ShoeSales[[#This Row],[Quantity]]*ShoeSales[[#This Row],[Unit_price]]</f>
        <v>216</v>
      </c>
      <c r="L448" s="5">
        <f>ShoeSales[[#This Row],[Quantity]]*ShoeSales[[#This Row],[Unit_cost]]</f>
        <v>112</v>
      </c>
      <c r="M448" s="5">
        <f>ShoeSales[[#This Row],[Revenue]]-ShoeSales[[#This Row],[Total_cost]]</f>
        <v>104</v>
      </c>
      <c r="N448" s="11">
        <f>ShoeSales[[#This Row],[Profit]]/ShoeSales[[#This Row],[Revenue]]</f>
        <v>0.48148148148148145</v>
      </c>
    </row>
    <row r="449" spans="1:14" ht="14.25" customHeight="1" x14ac:dyDescent="0.25">
      <c r="A449" s="8">
        <v>46131</v>
      </c>
      <c r="B449" s="14" t="s">
        <v>8</v>
      </c>
      <c r="C449" s="16" t="s">
        <v>27</v>
      </c>
      <c r="D449" s="16" t="s">
        <v>42</v>
      </c>
      <c r="E449" s="14" t="str">
        <f ca="1">PROPER(TRIM(CLEAN(ShoeSales[[#This Row],[Brand]])))</f>
        <v>Clarks</v>
      </c>
      <c r="F449" s="16" t="s">
        <v>34</v>
      </c>
      <c r="G449" s="4">
        <v>4</v>
      </c>
      <c r="H449" s="16" t="s">
        <v>32</v>
      </c>
      <c r="I449" s="5">
        <f>VLOOKUP(ShoeSales[[#This Row],[Product]],Price!$A$2:C456,2,)</f>
        <v>76</v>
      </c>
      <c r="J449" s="5">
        <f>VLOOKUP(ShoeSales[[#This Row],[Product]],Price!$A$2:C456,3,)</f>
        <v>39</v>
      </c>
      <c r="K449" s="5">
        <f>ShoeSales[[#This Row],[Quantity]]*ShoeSales[[#This Row],[Unit_price]]</f>
        <v>304</v>
      </c>
      <c r="L449" s="5">
        <f>ShoeSales[[#This Row],[Quantity]]*ShoeSales[[#This Row],[Unit_cost]]</f>
        <v>156</v>
      </c>
      <c r="M449" s="5">
        <f>ShoeSales[[#This Row],[Revenue]]-ShoeSales[[#This Row],[Total_cost]]</f>
        <v>148</v>
      </c>
      <c r="N449" s="11">
        <f>ShoeSales[[#This Row],[Profit]]/ShoeSales[[#This Row],[Revenue]]</f>
        <v>0.48684210526315791</v>
      </c>
    </row>
    <row r="450" spans="1:14" ht="14.25" customHeight="1" x14ac:dyDescent="0.25">
      <c r="A450" s="7">
        <v>46245</v>
      </c>
      <c r="B450" s="14" t="s">
        <v>15</v>
      </c>
      <c r="C450" s="15" t="s">
        <v>52</v>
      </c>
      <c r="D450" s="15" t="s">
        <v>31</v>
      </c>
      <c r="E450" s="14" t="str">
        <f ca="1">PROPER(TRIM(CLEAN(ShoeSales[[#This Row],[Brand]])))</f>
        <v>Nike</v>
      </c>
      <c r="F450" s="15" t="s">
        <v>29</v>
      </c>
      <c r="G450" s="3">
        <v>1</v>
      </c>
      <c r="H450" s="15" t="s">
        <v>41</v>
      </c>
      <c r="I450" s="5">
        <f>VLOOKUP(ShoeSales[[#This Row],[Product]],Price!$A$2:C457,2,)</f>
        <v>119</v>
      </c>
      <c r="J450" s="5">
        <f>VLOOKUP(ShoeSales[[#This Row],[Product]],Price!$A$2:C457,3,)</f>
        <v>67</v>
      </c>
      <c r="K450" s="5">
        <f>ShoeSales[[#This Row],[Quantity]]*ShoeSales[[#This Row],[Unit_price]]</f>
        <v>119</v>
      </c>
      <c r="L450" s="5">
        <f>ShoeSales[[#This Row],[Quantity]]*ShoeSales[[#This Row],[Unit_cost]]</f>
        <v>67</v>
      </c>
      <c r="M450" s="5">
        <f>ShoeSales[[#This Row],[Revenue]]-ShoeSales[[#This Row],[Total_cost]]</f>
        <v>52</v>
      </c>
      <c r="N450" s="11">
        <f>ShoeSales[[#This Row],[Profit]]/ShoeSales[[#This Row],[Revenue]]</f>
        <v>0.43697478991596639</v>
      </c>
    </row>
    <row r="451" spans="1:14" ht="14.25" customHeight="1" x14ac:dyDescent="0.25">
      <c r="A451" s="8">
        <v>46238</v>
      </c>
      <c r="B451" s="14" t="s">
        <v>8</v>
      </c>
      <c r="C451" s="16" t="s">
        <v>27</v>
      </c>
      <c r="D451" s="16" t="s">
        <v>28</v>
      </c>
      <c r="E451" s="14" t="str">
        <f ca="1">PROPER(TRIM(CLEAN(ShoeSales[[#This Row],[Brand]])))</f>
        <v>Zara</v>
      </c>
      <c r="F451" s="16" t="s">
        <v>53</v>
      </c>
      <c r="G451" s="4">
        <v>5</v>
      </c>
      <c r="H451" s="16" t="s">
        <v>41</v>
      </c>
      <c r="I451" s="5">
        <f>VLOOKUP(ShoeSales[[#This Row],[Product]],Price!$A$2:C458,2,)</f>
        <v>76</v>
      </c>
      <c r="J451" s="5">
        <f>VLOOKUP(ShoeSales[[#This Row],[Product]],Price!$A$2:C458,3,)</f>
        <v>39</v>
      </c>
      <c r="K451" s="5">
        <f>ShoeSales[[#This Row],[Quantity]]*ShoeSales[[#This Row],[Unit_price]]</f>
        <v>380</v>
      </c>
      <c r="L451" s="5">
        <f>ShoeSales[[#This Row],[Quantity]]*ShoeSales[[#This Row],[Unit_cost]]</f>
        <v>195</v>
      </c>
      <c r="M451" s="5">
        <f>ShoeSales[[#This Row],[Revenue]]-ShoeSales[[#This Row],[Total_cost]]</f>
        <v>185</v>
      </c>
      <c r="N451" s="11">
        <f>ShoeSales[[#This Row],[Profit]]/ShoeSales[[#This Row],[Revenue]]</f>
        <v>0.48684210526315791</v>
      </c>
    </row>
    <row r="452" spans="1:14" ht="14.25" customHeight="1" x14ac:dyDescent="0.25">
      <c r="A452" s="7">
        <v>46200</v>
      </c>
      <c r="B452" s="14" t="s">
        <v>12</v>
      </c>
      <c r="C452" s="15" t="s">
        <v>27</v>
      </c>
      <c r="D452" s="15" t="s">
        <v>42</v>
      </c>
      <c r="E452" s="14" t="str">
        <f ca="1">PROPER(TRIM(CLEAN(ShoeSales[[#This Row],[Brand]])))</f>
        <v>Zara</v>
      </c>
      <c r="F452" s="15" t="s">
        <v>43</v>
      </c>
      <c r="G452" s="3">
        <v>5</v>
      </c>
      <c r="H452" s="15" t="s">
        <v>41</v>
      </c>
      <c r="I452" s="5">
        <f>VLOOKUP(ShoeSales[[#This Row],[Product]],Price!$A$2:C459,2,)</f>
        <v>112</v>
      </c>
      <c r="J452" s="5">
        <f>VLOOKUP(ShoeSales[[#This Row],[Product]],Price!$A$2:C459,3,)</f>
        <v>64</v>
      </c>
      <c r="K452" s="5">
        <f>ShoeSales[[#This Row],[Quantity]]*ShoeSales[[#This Row],[Unit_price]]</f>
        <v>560</v>
      </c>
      <c r="L452" s="5">
        <f>ShoeSales[[#This Row],[Quantity]]*ShoeSales[[#This Row],[Unit_cost]]</f>
        <v>320</v>
      </c>
      <c r="M452" s="5">
        <f>ShoeSales[[#This Row],[Revenue]]-ShoeSales[[#This Row],[Total_cost]]</f>
        <v>240</v>
      </c>
      <c r="N452" s="11">
        <f>ShoeSales[[#This Row],[Profit]]/ShoeSales[[#This Row],[Revenue]]</f>
        <v>0.42857142857142855</v>
      </c>
    </row>
    <row r="453" spans="1:14" ht="14.25" customHeight="1" x14ac:dyDescent="0.25">
      <c r="A453" s="8">
        <v>46030</v>
      </c>
      <c r="B453" s="14" t="s">
        <v>12</v>
      </c>
      <c r="C453" s="16" t="s">
        <v>27</v>
      </c>
      <c r="D453" s="16" t="s">
        <v>38</v>
      </c>
      <c r="E453" s="14" t="str">
        <f ca="1">PROPER(TRIM(CLEAN(ShoeSales[[#This Row],[Brand]])))</f>
        <v>Steve Madden</v>
      </c>
      <c r="F453" s="16" t="s">
        <v>39</v>
      </c>
      <c r="G453" s="4">
        <v>3</v>
      </c>
      <c r="H453" s="16" t="s">
        <v>41</v>
      </c>
      <c r="I453" s="5">
        <f>VLOOKUP(ShoeSales[[#This Row],[Product]],Price!$A$2:C460,2,)</f>
        <v>112</v>
      </c>
      <c r="J453" s="5">
        <f>VLOOKUP(ShoeSales[[#This Row],[Product]],Price!$A$2:C460,3,)</f>
        <v>64</v>
      </c>
      <c r="K453" s="5">
        <f>ShoeSales[[#This Row],[Quantity]]*ShoeSales[[#This Row],[Unit_price]]</f>
        <v>336</v>
      </c>
      <c r="L453" s="5">
        <f>ShoeSales[[#This Row],[Quantity]]*ShoeSales[[#This Row],[Unit_cost]]</f>
        <v>192</v>
      </c>
      <c r="M453" s="5">
        <f>ShoeSales[[#This Row],[Revenue]]-ShoeSales[[#This Row],[Total_cost]]</f>
        <v>144</v>
      </c>
      <c r="N453" s="11">
        <f>ShoeSales[[#This Row],[Profit]]/ShoeSales[[#This Row],[Revenue]]</f>
        <v>0.42857142857142855</v>
      </c>
    </row>
    <row r="454" spans="1:14" ht="14.25" customHeight="1" x14ac:dyDescent="0.25">
      <c r="A454" s="7">
        <v>46226</v>
      </c>
      <c r="B454" s="14" t="s">
        <v>12</v>
      </c>
      <c r="C454" s="15" t="s">
        <v>27</v>
      </c>
      <c r="D454" s="15" t="s">
        <v>38</v>
      </c>
      <c r="E454" s="14" t="str">
        <f ca="1">PROPER(TRIM(CLEAN(ShoeSales[[#This Row],[Brand]])))</f>
        <v>Steve Madden</v>
      </c>
      <c r="F454" s="15" t="s">
        <v>47</v>
      </c>
      <c r="G454" s="3">
        <v>11</v>
      </c>
      <c r="H454" s="15" t="s">
        <v>30</v>
      </c>
      <c r="I454" s="5">
        <f>VLOOKUP(ShoeSales[[#This Row],[Product]],Price!$A$2:C461,2,)</f>
        <v>112</v>
      </c>
      <c r="J454" s="5">
        <f>VLOOKUP(ShoeSales[[#This Row],[Product]],Price!$A$2:C461,3,)</f>
        <v>64</v>
      </c>
      <c r="K454" s="5">
        <f>ShoeSales[[#This Row],[Quantity]]*ShoeSales[[#This Row],[Unit_price]]</f>
        <v>1232</v>
      </c>
      <c r="L454" s="5">
        <f>ShoeSales[[#This Row],[Quantity]]*ShoeSales[[#This Row],[Unit_cost]]</f>
        <v>704</v>
      </c>
      <c r="M454" s="5">
        <f>ShoeSales[[#This Row],[Revenue]]-ShoeSales[[#This Row],[Total_cost]]</f>
        <v>528</v>
      </c>
      <c r="N454" s="11">
        <f>ShoeSales[[#This Row],[Profit]]/ShoeSales[[#This Row],[Revenue]]</f>
        <v>0.42857142857142855</v>
      </c>
    </row>
    <row r="455" spans="1:14" ht="14.25" customHeight="1" x14ac:dyDescent="0.25">
      <c r="A455" s="8">
        <v>46235</v>
      </c>
      <c r="B455" s="14" t="s">
        <v>8</v>
      </c>
      <c r="C455" s="16" t="s">
        <v>48</v>
      </c>
      <c r="D455" s="16" t="s">
        <v>31</v>
      </c>
      <c r="E455" s="14" t="str">
        <f ca="1">PROPER(TRIM(CLEAN(ShoeSales[[#This Row],[Brand]])))</f>
        <v>Clarks</v>
      </c>
      <c r="F455" s="16" t="s">
        <v>53</v>
      </c>
      <c r="G455" s="4">
        <v>9</v>
      </c>
      <c r="H455" s="16" t="s">
        <v>45</v>
      </c>
      <c r="I455" s="5">
        <f>VLOOKUP(ShoeSales[[#This Row],[Product]],Price!$A$2:C462,2,)</f>
        <v>76</v>
      </c>
      <c r="J455" s="5">
        <f>VLOOKUP(ShoeSales[[#This Row],[Product]],Price!$A$2:C462,3,)</f>
        <v>39</v>
      </c>
      <c r="K455" s="5">
        <f>ShoeSales[[#This Row],[Quantity]]*ShoeSales[[#This Row],[Unit_price]]</f>
        <v>684</v>
      </c>
      <c r="L455" s="5">
        <f>ShoeSales[[#This Row],[Quantity]]*ShoeSales[[#This Row],[Unit_cost]]</f>
        <v>351</v>
      </c>
      <c r="M455" s="5">
        <f>ShoeSales[[#This Row],[Revenue]]-ShoeSales[[#This Row],[Total_cost]]</f>
        <v>333</v>
      </c>
      <c r="N455" s="11">
        <f>ShoeSales[[#This Row],[Profit]]/ShoeSales[[#This Row],[Revenue]]</f>
        <v>0.48684210526315791</v>
      </c>
    </row>
    <row r="456" spans="1:14" ht="14.25" customHeight="1" x14ac:dyDescent="0.25">
      <c r="A456" s="7">
        <v>46223</v>
      </c>
      <c r="B456" s="14" t="s">
        <v>10</v>
      </c>
      <c r="C456" s="15" t="s">
        <v>27</v>
      </c>
      <c r="D456" s="15" t="s">
        <v>38</v>
      </c>
      <c r="E456" s="14" t="str">
        <f ca="1">PROPER(TRIM(CLEAN(ShoeSales[[#This Row],[Brand]])))</f>
        <v>Zara</v>
      </c>
      <c r="F456" s="15" t="s">
        <v>40</v>
      </c>
      <c r="G456" s="3">
        <v>15</v>
      </c>
      <c r="H456" s="15" t="s">
        <v>30</v>
      </c>
      <c r="I456" s="5">
        <f>VLOOKUP(ShoeSales[[#This Row],[Product]],Price!$A$2:C463,2,)</f>
        <v>105</v>
      </c>
      <c r="J456" s="5">
        <f>VLOOKUP(ShoeSales[[#This Row],[Product]],Price!$A$2:C463,3,)</f>
        <v>58</v>
      </c>
      <c r="K456" s="5">
        <f>ShoeSales[[#This Row],[Quantity]]*ShoeSales[[#This Row],[Unit_price]]</f>
        <v>1575</v>
      </c>
      <c r="L456" s="5">
        <f>ShoeSales[[#This Row],[Quantity]]*ShoeSales[[#This Row],[Unit_cost]]</f>
        <v>870</v>
      </c>
      <c r="M456" s="5">
        <f>ShoeSales[[#This Row],[Revenue]]-ShoeSales[[#This Row],[Total_cost]]</f>
        <v>705</v>
      </c>
      <c r="N456" s="11">
        <f>ShoeSales[[#This Row],[Profit]]/ShoeSales[[#This Row],[Revenue]]</f>
        <v>0.44761904761904764</v>
      </c>
    </row>
    <row r="457" spans="1:14" ht="14.25" customHeight="1" x14ac:dyDescent="0.25">
      <c r="A457" s="8">
        <v>46049</v>
      </c>
      <c r="B457" s="14" t="s">
        <v>5</v>
      </c>
      <c r="C457" s="16" t="s">
        <v>48</v>
      </c>
      <c r="D457" s="16" t="s">
        <v>38</v>
      </c>
      <c r="E457" s="14" t="str">
        <f ca="1">PROPER(TRIM(CLEAN(ShoeSales[[#This Row],[Brand]])))</f>
        <v>Zara</v>
      </c>
      <c r="F457" s="16" t="s">
        <v>36</v>
      </c>
      <c r="G457" s="4">
        <v>10</v>
      </c>
      <c r="H457" s="16" t="s">
        <v>41</v>
      </c>
      <c r="I457" s="5">
        <f>VLOOKUP(ShoeSales[[#This Row],[Product]],Price!$A$2:C464,2,)</f>
        <v>89</v>
      </c>
      <c r="J457" s="5">
        <f>VLOOKUP(ShoeSales[[#This Row],[Product]],Price!$A$2:C464,3,)</f>
        <v>47</v>
      </c>
      <c r="K457" s="5">
        <f>ShoeSales[[#This Row],[Quantity]]*ShoeSales[[#This Row],[Unit_price]]</f>
        <v>890</v>
      </c>
      <c r="L457" s="5">
        <f>ShoeSales[[#This Row],[Quantity]]*ShoeSales[[#This Row],[Unit_cost]]</f>
        <v>470</v>
      </c>
      <c r="M457" s="5">
        <f>ShoeSales[[#This Row],[Revenue]]-ShoeSales[[#This Row],[Total_cost]]</f>
        <v>420</v>
      </c>
      <c r="N457" s="11">
        <f>ShoeSales[[#This Row],[Profit]]/ShoeSales[[#This Row],[Revenue]]</f>
        <v>0.47191011235955055</v>
      </c>
    </row>
    <row r="458" spans="1:14" ht="14.25" customHeight="1" x14ac:dyDescent="0.25">
      <c r="A458" s="7">
        <v>46083</v>
      </c>
      <c r="B458" s="14" t="s">
        <v>15</v>
      </c>
      <c r="C458" s="15" t="s">
        <v>27</v>
      </c>
      <c r="D458" s="15" t="s">
        <v>42</v>
      </c>
      <c r="E458" s="14" t="str">
        <f ca="1">PROPER(TRIM(CLEAN(ShoeSales[[#This Row],[Brand]])))</f>
        <v>Zara</v>
      </c>
      <c r="F458" s="15" t="s">
        <v>44</v>
      </c>
      <c r="G458" s="3">
        <v>5</v>
      </c>
      <c r="H458" s="15" t="s">
        <v>41</v>
      </c>
      <c r="I458" s="5">
        <f>VLOOKUP(ShoeSales[[#This Row],[Product]],Price!$A$2:C465,2,)</f>
        <v>119</v>
      </c>
      <c r="J458" s="5">
        <f>VLOOKUP(ShoeSales[[#This Row],[Product]],Price!$A$2:C465,3,)</f>
        <v>67</v>
      </c>
      <c r="K458" s="5">
        <f>ShoeSales[[#This Row],[Quantity]]*ShoeSales[[#This Row],[Unit_price]]</f>
        <v>595</v>
      </c>
      <c r="L458" s="5">
        <f>ShoeSales[[#This Row],[Quantity]]*ShoeSales[[#This Row],[Unit_cost]]</f>
        <v>335</v>
      </c>
      <c r="M458" s="5">
        <f>ShoeSales[[#This Row],[Revenue]]-ShoeSales[[#This Row],[Total_cost]]</f>
        <v>260</v>
      </c>
      <c r="N458" s="11">
        <f>ShoeSales[[#This Row],[Profit]]/ShoeSales[[#This Row],[Revenue]]</f>
        <v>0.43697478991596639</v>
      </c>
    </row>
    <row r="459" spans="1:14" ht="14.25" customHeight="1" x14ac:dyDescent="0.25">
      <c r="A459" s="8">
        <v>46160</v>
      </c>
      <c r="B459" s="14" t="s">
        <v>15</v>
      </c>
      <c r="C459" s="16" t="s">
        <v>27</v>
      </c>
      <c r="D459" s="16" t="s">
        <v>33</v>
      </c>
      <c r="E459" s="14" t="str">
        <f ca="1">PROPER(TRIM(CLEAN(ShoeSales[[#This Row],[Brand]])))</f>
        <v>Clarks</v>
      </c>
      <c r="F459" s="16" t="s">
        <v>43</v>
      </c>
      <c r="G459" s="4">
        <v>9</v>
      </c>
      <c r="H459" s="16" t="s">
        <v>41</v>
      </c>
      <c r="I459" s="5">
        <f>VLOOKUP(ShoeSales[[#This Row],[Product]],Price!$A$2:C466,2,)</f>
        <v>119</v>
      </c>
      <c r="J459" s="5">
        <f>VLOOKUP(ShoeSales[[#This Row],[Product]],Price!$A$2:C466,3,)</f>
        <v>67</v>
      </c>
      <c r="K459" s="5">
        <f>ShoeSales[[#This Row],[Quantity]]*ShoeSales[[#This Row],[Unit_price]]</f>
        <v>1071</v>
      </c>
      <c r="L459" s="5">
        <f>ShoeSales[[#This Row],[Quantity]]*ShoeSales[[#This Row],[Unit_cost]]</f>
        <v>603</v>
      </c>
      <c r="M459" s="5">
        <f>ShoeSales[[#This Row],[Revenue]]-ShoeSales[[#This Row],[Total_cost]]</f>
        <v>468</v>
      </c>
      <c r="N459" s="11">
        <f>ShoeSales[[#This Row],[Profit]]/ShoeSales[[#This Row],[Revenue]]</f>
        <v>0.43697478991596639</v>
      </c>
    </row>
    <row r="460" spans="1:14" ht="14.25" customHeight="1" x14ac:dyDescent="0.25">
      <c r="A460" s="7">
        <v>46220</v>
      </c>
      <c r="B460" s="14" t="s">
        <v>5</v>
      </c>
      <c r="C460" s="15" t="s">
        <v>27</v>
      </c>
      <c r="D460" s="15" t="s">
        <v>31</v>
      </c>
      <c r="E460" s="14" t="str">
        <f ca="1">PROPER(TRIM(CLEAN(ShoeSales[[#This Row],[Brand]])))</f>
        <v>Clarks</v>
      </c>
      <c r="F460" s="15" t="s">
        <v>51</v>
      </c>
      <c r="G460" s="3">
        <v>1</v>
      </c>
      <c r="H460" s="15" t="s">
        <v>41</v>
      </c>
      <c r="I460" s="5">
        <f>VLOOKUP(ShoeSales[[#This Row],[Product]],Price!$A$2:C467,2,)</f>
        <v>89</v>
      </c>
      <c r="J460" s="5">
        <f>VLOOKUP(ShoeSales[[#This Row],[Product]],Price!$A$2:C467,3,)</f>
        <v>47</v>
      </c>
      <c r="K460" s="5">
        <f>ShoeSales[[#This Row],[Quantity]]*ShoeSales[[#This Row],[Unit_price]]</f>
        <v>89</v>
      </c>
      <c r="L460" s="5">
        <f>ShoeSales[[#This Row],[Quantity]]*ShoeSales[[#This Row],[Unit_cost]]</f>
        <v>47</v>
      </c>
      <c r="M460" s="5">
        <f>ShoeSales[[#This Row],[Revenue]]-ShoeSales[[#This Row],[Total_cost]]</f>
        <v>42</v>
      </c>
      <c r="N460" s="11">
        <f>ShoeSales[[#This Row],[Profit]]/ShoeSales[[#This Row],[Revenue]]</f>
        <v>0.47191011235955055</v>
      </c>
    </row>
    <row r="461" spans="1:14" ht="14.25" customHeight="1" x14ac:dyDescent="0.25">
      <c r="A461" s="8">
        <v>46094</v>
      </c>
      <c r="B461" s="14" t="s">
        <v>8</v>
      </c>
      <c r="C461" s="16" t="s">
        <v>48</v>
      </c>
      <c r="D461" s="16" t="s">
        <v>38</v>
      </c>
      <c r="E461" s="14" t="str">
        <f ca="1">PROPER(TRIM(CLEAN(ShoeSales[[#This Row],[Brand]])))</f>
        <v>Clarks</v>
      </c>
      <c r="F461" s="16" t="s">
        <v>35</v>
      </c>
      <c r="G461" s="4">
        <v>8</v>
      </c>
      <c r="H461" s="16" t="s">
        <v>32</v>
      </c>
      <c r="I461" s="5">
        <f>VLOOKUP(ShoeSales[[#This Row],[Product]],Price!$A$2:C468,2,)</f>
        <v>76</v>
      </c>
      <c r="J461" s="5">
        <f>VLOOKUP(ShoeSales[[#This Row],[Product]],Price!$A$2:C468,3,)</f>
        <v>39</v>
      </c>
      <c r="K461" s="5">
        <f>ShoeSales[[#This Row],[Quantity]]*ShoeSales[[#This Row],[Unit_price]]</f>
        <v>608</v>
      </c>
      <c r="L461" s="5">
        <f>ShoeSales[[#This Row],[Quantity]]*ShoeSales[[#This Row],[Unit_cost]]</f>
        <v>312</v>
      </c>
      <c r="M461" s="5">
        <f>ShoeSales[[#This Row],[Revenue]]-ShoeSales[[#This Row],[Total_cost]]</f>
        <v>296</v>
      </c>
      <c r="N461" s="11">
        <f>ShoeSales[[#This Row],[Profit]]/ShoeSales[[#This Row],[Revenue]]</f>
        <v>0.48684210526315791</v>
      </c>
    </row>
    <row r="462" spans="1:14" ht="14.25" customHeight="1" x14ac:dyDescent="0.25">
      <c r="A462" s="7">
        <v>46177</v>
      </c>
      <c r="B462" s="14" t="s">
        <v>10</v>
      </c>
      <c r="C462" s="15" t="s">
        <v>52</v>
      </c>
      <c r="D462" s="15" t="s">
        <v>33</v>
      </c>
      <c r="E462" s="14" t="str">
        <f ca="1">PROPER(TRIM(CLEAN(ShoeSales[[#This Row],[Brand]])))</f>
        <v>Clarks</v>
      </c>
      <c r="F462" s="15" t="s">
        <v>46</v>
      </c>
      <c r="G462" s="3">
        <v>8</v>
      </c>
      <c r="H462" s="15" t="s">
        <v>45</v>
      </c>
      <c r="I462" s="5">
        <f>VLOOKUP(ShoeSales[[#This Row],[Product]],Price!$A$2:C469,2,)</f>
        <v>105</v>
      </c>
      <c r="J462" s="5">
        <f>VLOOKUP(ShoeSales[[#This Row],[Product]],Price!$A$2:C469,3,)</f>
        <v>58</v>
      </c>
      <c r="K462" s="5">
        <f>ShoeSales[[#This Row],[Quantity]]*ShoeSales[[#This Row],[Unit_price]]</f>
        <v>840</v>
      </c>
      <c r="L462" s="5">
        <f>ShoeSales[[#This Row],[Quantity]]*ShoeSales[[#This Row],[Unit_cost]]</f>
        <v>464</v>
      </c>
      <c r="M462" s="5">
        <f>ShoeSales[[#This Row],[Revenue]]-ShoeSales[[#This Row],[Total_cost]]</f>
        <v>376</v>
      </c>
      <c r="N462" s="11">
        <f>ShoeSales[[#This Row],[Profit]]/ShoeSales[[#This Row],[Revenue]]</f>
        <v>0.44761904761904764</v>
      </c>
    </row>
    <row r="463" spans="1:14" ht="14.25" customHeight="1" x14ac:dyDescent="0.25">
      <c r="A463" s="8">
        <v>46231</v>
      </c>
      <c r="B463" s="14" t="s">
        <v>7</v>
      </c>
      <c r="C463" s="16" t="s">
        <v>52</v>
      </c>
      <c r="D463" s="16" t="s">
        <v>28</v>
      </c>
      <c r="E463" s="14" t="str">
        <f ca="1">PROPER(TRIM(CLEAN(ShoeSales[[#This Row],[Brand]])))</f>
        <v>Clarks</v>
      </c>
      <c r="F463" s="16" t="s">
        <v>44</v>
      </c>
      <c r="G463" s="4">
        <v>9</v>
      </c>
      <c r="H463" s="16" t="s">
        <v>32</v>
      </c>
      <c r="I463" s="5">
        <f>VLOOKUP(ShoeSales[[#This Row],[Product]],Price!$A$2:C470,2,)</f>
        <v>32</v>
      </c>
      <c r="J463" s="5">
        <f>VLOOKUP(ShoeSales[[#This Row],[Product]],Price!$A$2:C470,3,)</f>
        <v>14</v>
      </c>
      <c r="K463" s="5">
        <f>ShoeSales[[#This Row],[Quantity]]*ShoeSales[[#This Row],[Unit_price]]</f>
        <v>288</v>
      </c>
      <c r="L463" s="5">
        <f>ShoeSales[[#This Row],[Quantity]]*ShoeSales[[#This Row],[Unit_cost]]</f>
        <v>126</v>
      </c>
      <c r="M463" s="5">
        <f>ShoeSales[[#This Row],[Revenue]]-ShoeSales[[#This Row],[Total_cost]]</f>
        <v>162</v>
      </c>
      <c r="N463" s="11">
        <f>ShoeSales[[#This Row],[Profit]]/ShoeSales[[#This Row],[Revenue]]</f>
        <v>0.5625</v>
      </c>
    </row>
    <row r="464" spans="1:14" ht="14.25" customHeight="1" x14ac:dyDescent="0.25">
      <c r="A464" s="7">
        <v>46203</v>
      </c>
      <c r="B464" s="14" t="s">
        <v>12</v>
      </c>
      <c r="C464" s="15" t="s">
        <v>48</v>
      </c>
      <c r="D464" s="15" t="s">
        <v>31</v>
      </c>
      <c r="E464" s="14" t="str">
        <f ca="1">PROPER(TRIM(CLEAN(ShoeSales[[#This Row],[Brand]])))</f>
        <v>Nike</v>
      </c>
      <c r="F464" s="15" t="s">
        <v>49</v>
      </c>
      <c r="G464" s="3">
        <v>10</v>
      </c>
      <c r="H464" s="15" t="s">
        <v>30</v>
      </c>
      <c r="I464" s="5">
        <f>VLOOKUP(ShoeSales[[#This Row],[Product]],Price!$A$2:C471,2,)</f>
        <v>112</v>
      </c>
      <c r="J464" s="5">
        <f>VLOOKUP(ShoeSales[[#This Row],[Product]],Price!$A$2:C471,3,)</f>
        <v>64</v>
      </c>
      <c r="K464" s="5">
        <f>ShoeSales[[#This Row],[Quantity]]*ShoeSales[[#This Row],[Unit_price]]</f>
        <v>1120</v>
      </c>
      <c r="L464" s="5">
        <f>ShoeSales[[#This Row],[Quantity]]*ShoeSales[[#This Row],[Unit_cost]]</f>
        <v>640</v>
      </c>
      <c r="M464" s="5">
        <f>ShoeSales[[#This Row],[Revenue]]-ShoeSales[[#This Row],[Total_cost]]</f>
        <v>480</v>
      </c>
      <c r="N464" s="11">
        <f>ShoeSales[[#This Row],[Profit]]/ShoeSales[[#This Row],[Revenue]]</f>
        <v>0.42857142857142855</v>
      </c>
    </row>
    <row r="465" spans="1:14" ht="14.25" customHeight="1" x14ac:dyDescent="0.25">
      <c r="A465" s="8">
        <v>46238</v>
      </c>
      <c r="B465" s="14" t="s">
        <v>9</v>
      </c>
      <c r="C465" s="16" t="s">
        <v>52</v>
      </c>
      <c r="D465" s="16" t="s">
        <v>33</v>
      </c>
      <c r="E465" s="14" t="str">
        <f ca="1">PROPER(TRIM(CLEAN(ShoeSales[[#This Row],[Brand]])))</f>
        <v>Clarks</v>
      </c>
      <c r="F465" s="16" t="s">
        <v>39</v>
      </c>
      <c r="G465" s="4">
        <v>6</v>
      </c>
      <c r="H465" s="16" t="s">
        <v>32</v>
      </c>
      <c r="I465" s="5">
        <f>VLOOKUP(ShoeSales[[#This Row],[Product]],Price!$A$2:C472,2,)</f>
        <v>128</v>
      </c>
      <c r="J465" s="5">
        <f>VLOOKUP(ShoeSales[[#This Row],[Product]],Price!$A$2:C472,3,)</f>
        <v>72</v>
      </c>
      <c r="K465" s="5">
        <f>ShoeSales[[#This Row],[Quantity]]*ShoeSales[[#This Row],[Unit_price]]</f>
        <v>768</v>
      </c>
      <c r="L465" s="5">
        <f>ShoeSales[[#This Row],[Quantity]]*ShoeSales[[#This Row],[Unit_cost]]</f>
        <v>432</v>
      </c>
      <c r="M465" s="5">
        <f>ShoeSales[[#This Row],[Revenue]]-ShoeSales[[#This Row],[Total_cost]]</f>
        <v>336</v>
      </c>
      <c r="N465" s="11">
        <f>ShoeSales[[#This Row],[Profit]]/ShoeSales[[#This Row],[Revenue]]</f>
        <v>0.4375</v>
      </c>
    </row>
    <row r="466" spans="1:14" ht="14.25" customHeight="1" x14ac:dyDescent="0.25">
      <c r="A466" s="7">
        <v>46177</v>
      </c>
      <c r="B466" s="14" t="s">
        <v>9</v>
      </c>
      <c r="C466" s="15" t="s">
        <v>27</v>
      </c>
      <c r="D466" s="15" t="s">
        <v>33</v>
      </c>
      <c r="E466" s="14" t="str">
        <f ca="1">PROPER(TRIM(CLEAN(ShoeSales[[#This Row],[Brand]])))</f>
        <v>Nike</v>
      </c>
      <c r="F466" s="15" t="s">
        <v>39</v>
      </c>
      <c r="G466" s="3">
        <v>4</v>
      </c>
      <c r="H466" s="15" t="s">
        <v>41</v>
      </c>
      <c r="I466" s="5">
        <f>VLOOKUP(ShoeSales[[#This Row],[Product]],Price!$A$2:C473,2,)</f>
        <v>128</v>
      </c>
      <c r="J466" s="5">
        <f>VLOOKUP(ShoeSales[[#This Row],[Product]],Price!$A$2:C473,3,)</f>
        <v>72</v>
      </c>
      <c r="K466" s="5">
        <f>ShoeSales[[#This Row],[Quantity]]*ShoeSales[[#This Row],[Unit_price]]</f>
        <v>512</v>
      </c>
      <c r="L466" s="5">
        <f>ShoeSales[[#This Row],[Quantity]]*ShoeSales[[#This Row],[Unit_cost]]</f>
        <v>288</v>
      </c>
      <c r="M466" s="5">
        <f>ShoeSales[[#This Row],[Revenue]]-ShoeSales[[#This Row],[Total_cost]]</f>
        <v>224</v>
      </c>
      <c r="N466" s="11">
        <f>ShoeSales[[#This Row],[Profit]]/ShoeSales[[#This Row],[Revenue]]</f>
        <v>0.4375</v>
      </c>
    </row>
    <row r="467" spans="1:14" ht="14.25" customHeight="1" x14ac:dyDescent="0.25">
      <c r="A467" s="8">
        <v>46099</v>
      </c>
      <c r="B467" s="14" t="s">
        <v>5</v>
      </c>
      <c r="C467" s="16" t="s">
        <v>27</v>
      </c>
      <c r="D467" s="16" t="s">
        <v>31</v>
      </c>
      <c r="E467" s="14" t="str">
        <f ca="1">PROPER(TRIM(CLEAN(ShoeSales[[#This Row],[Brand]])))</f>
        <v>Timberland</v>
      </c>
      <c r="F467" s="16" t="s">
        <v>34</v>
      </c>
      <c r="G467" s="4">
        <v>4</v>
      </c>
      <c r="H467" s="16" t="s">
        <v>30</v>
      </c>
      <c r="I467" s="5">
        <f>VLOOKUP(ShoeSales[[#This Row],[Product]],Price!$A$2:C474,2,)</f>
        <v>89</v>
      </c>
      <c r="J467" s="5">
        <f>VLOOKUP(ShoeSales[[#This Row],[Product]],Price!$A$2:C474,3,)</f>
        <v>47</v>
      </c>
      <c r="K467" s="5">
        <f>ShoeSales[[#This Row],[Quantity]]*ShoeSales[[#This Row],[Unit_price]]</f>
        <v>356</v>
      </c>
      <c r="L467" s="5">
        <f>ShoeSales[[#This Row],[Quantity]]*ShoeSales[[#This Row],[Unit_cost]]</f>
        <v>188</v>
      </c>
      <c r="M467" s="5">
        <f>ShoeSales[[#This Row],[Revenue]]-ShoeSales[[#This Row],[Total_cost]]</f>
        <v>168</v>
      </c>
      <c r="N467" s="11">
        <f>ShoeSales[[#This Row],[Profit]]/ShoeSales[[#This Row],[Revenue]]</f>
        <v>0.47191011235955055</v>
      </c>
    </row>
    <row r="468" spans="1:14" ht="14.25" customHeight="1" x14ac:dyDescent="0.25">
      <c r="A468" s="7">
        <v>46035</v>
      </c>
      <c r="B468" s="14" t="s">
        <v>8</v>
      </c>
      <c r="C468" s="15" t="s">
        <v>27</v>
      </c>
      <c r="D468" s="15" t="s">
        <v>28</v>
      </c>
      <c r="E468" s="14" t="str">
        <f ca="1">PROPER(TRIM(CLEAN(ShoeSales[[#This Row],[Brand]])))</f>
        <v>Steve Madden</v>
      </c>
      <c r="F468" s="15" t="s">
        <v>40</v>
      </c>
      <c r="G468" s="3">
        <v>14</v>
      </c>
      <c r="H468" s="15" t="s">
        <v>30</v>
      </c>
      <c r="I468" s="5">
        <f>VLOOKUP(ShoeSales[[#This Row],[Product]],Price!$A$2:C475,2,)</f>
        <v>76</v>
      </c>
      <c r="J468" s="5">
        <f>VLOOKUP(ShoeSales[[#This Row],[Product]],Price!$A$2:C475,3,)</f>
        <v>39</v>
      </c>
      <c r="K468" s="5">
        <f>ShoeSales[[#This Row],[Quantity]]*ShoeSales[[#This Row],[Unit_price]]</f>
        <v>1064</v>
      </c>
      <c r="L468" s="5">
        <f>ShoeSales[[#This Row],[Quantity]]*ShoeSales[[#This Row],[Unit_cost]]</f>
        <v>546</v>
      </c>
      <c r="M468" s="5">
        <f>ShoeSales[[#This Row],[Revenue]]-ShoeSales[[#This Row],[Total_cost]]</f>
        <v>518</v>
      </c>
      <c r="N468" s="11">
        <f>ShoeSales[[#This Row],[Profit]]/ShoeSales[[#This Row],[Revenue]]</f>
        <v>0.48684210526315791</v>
      </c>
    </row>
    <row r="469" spans="1:14" ht="14.25" customHeight="1" x14ac:dyDescent="0.25">
      <c r="A469" s="8">
        <v>46175</v>
      </c>
      <c r="B469" s="14" t="s">
        <v>12</v>
      </c>
      <c r="C469" s="16" t="s">
        <v>27</v>
      </c>
      <c r="D469" s="16" t="s">
        <v>33</v>
      </c>
      <c r="E469" s="14" t="str">
        <f ca="1">PROPER(TRIM(CLEAN(ShoeSales[[#This Row],[Brand]])))</f>
        <v>Steve Madden</v>
      </c>
      <c r="F469" s="16" t="s">
        <v>40</v>
      </c>
      <c r="G469" s="4">
        <v>8</v>
      </c>
      <c r="H469" s="16" t="s">
        <v>32</v>
      </c>
      <c r="I469" s="5">
        <f>VLOOKUP(ShoeSales[[#This Row],[Product]],Price!$A$2:C476,2,)</f>
        <v>112</v>
      </c>
      <c r="J469" s="5">
        <f>VLOOKUP(ShoeSales[[#This Row],[Product]],Price!$A$2:C476,3,)</f>
        <v>64</v>
      </c>
      <c r="K469" s="5">
        <f>ShoeSales[[#This Row],[Quantity]]*ShoeSales[[#This Row],[Unit_price]]</f>
        <v>896</v>
      </c>
      <c r="L469" s="5">
        <f>ShoeSales[[#This Row],[Quantity]]*ShoeSales[[#This Row],[Unit_cost]]</f>
        <v>512</v>
      </c>
      <c r="M469" s="5">
        <f>ShoeSales[[#This Row],[Revenue]]-ShoeSales[[#This Row],[Total_cost]]</f>
        <v>384</v>
      </c>
      <c r="N469" s="11">
        <f>ShoeSales[[#This Row],[Profit]]/ShoeSales[[#This Row],[Revenue]]</f>
        <v>0.42857142857142855</v>
      </c>
    </row>
    <row r="470" spans="1:14" ht="14.25" customHeight="1" x14ac:dyDescent="0.25">
      <c r="A470" s="7">
        <v>46044</v>
      </c>
      <c r="B470" s="14" t="s">
        <v>8</v>
      </c>
      <c r="C470" s="15" t="s">
        <v>27</v>
      </c>
      <c r="D470" s="15" t="s">
        <v>31</v>
      </c>
      <c r="E470" s="14" t="str">
        <f ca="1">PROPER(TRIM(CLEAN(ShoeSales[[#This Row],[Brand]])))</f>
        <v>Clarks</v>
      </c>
      <c r="F470" s="15" t="s">
        <v>40</v>
      </c>
      <c r="G470" s="3">
        <v>3</v>
      </c>
      <c r="H470" s="15" t="s">
        <v>32</v>
      </c>
      <c r="I470" s="5">
        <f>VLOOKUP(ShoeSales[[#This Row],[Product]],Price!$A$2:C477,2,)</f>
        <v>76</v>
      </c>
      <c r="J470" s="5">
        <f>VLOOKUP(ShoeSales[[#This Row],[Product]],Price!$A$2:C477,3,)</f>
        <v>39</v>
      </c>
      <c r="K470" s="5">
        <f>ShoeSales[[#This Row],[Quantity]]*ShoeSales[[#This Row],[Unit_price]]</f>
        <v>228</v>
      </c>
      <c r="L470" s="5">
        <f>ShoeSales[[#This Row],[Quantity]]*ShoeSales[[#This Row],[Unit_cost]]</f>
        <v>117</v>
      </c>
      <c r="M470" s="5">
        <f>ShoeSales[[#This Row],[Revenue]]-ShoeSales[[#This Row],[Total_cost]]</f>
        <v>111</v>
      </c>
      <c r="N470" s="11">
        <f>ShoeSales[[#This Row],[Profit]]/ShoeSales[[#This Row],[Revenue]]</f>
        <v>0.48684210526315791</v>
      </c>
    </row>
    <row r="471" spans="1:14" ht="14.25" customHeight="1" x14ac:dyDescent="0.25">
      <c r="A471" s="8">
        <v>46142</v>
      </c>
      <c r="B471" s="14" t="s">
        <v>9</v>
      </c>
      <c r="C471" s="16" t="s">
        <v>48</v>
      </c>
      <c r="D471" s="16" t="s">
        <v>28</v>
      </c>
      <c r="E471" s="14" t="str">
        <f ca="1">PROPER(TRIM(CLEAN(ShoeSales[[#This Row],[Brand]])))</f>
        <v>Clarks</v>
      </c>
      <c r="F471" s="16" t="s">
        <v>44</v>
      </c>
      <c r="G471" s="4">
        <v>10</v>
      </c>
      <c r="H471" s="16" t="s">
        <v>30</v>
      </c>
      <c r="I471" s="5">
        <f>VLOOKUP(ShoeSales[[#This Row],[Product]],Price!$A$2:C478,2,)</f>
        <v>128</v>
      </c>
      <c r="J471" s="5">
        <f>VLOOKUP(ShoeSales[[#This Row],[Product]],Price!$A$2:C478,3,)</f>
        <v>72</v>
      </c>
      <c r="K471" s="5">
        <f>ShoeSales[[#This Row],[Quantity]]*ShoeSales[[#This Row],[Unit_price]]</f>
        <v>1280</v>
      </c>
      <c r="L471" s="5">
        <f>ShoeSales[[#This Row],[Quantity]]*ShoeSales[[#This Row],[Unit_cost]]</f>
        <v>720</v>
      </c>
      <c r="M471" s="5">
        <f>ShoeSales[[#This Row],[Revenue]]-ShoeSales[[#This Row],[Total_cost]]</f>
        <v>560</v>
      </c>
      <c r="N471" s="11">
        <f>ShoeSales[[#This Row],[Profit]]/ShoeSales[[#This Row],[Revenue]]</f>
        <v>0.4375</v>
      </c>
    </row>
    <row r="472" spans="1:14" ht="14.25" customHeight="1" x14ac:dyDescent="0.25">
      <c r="A472" s="7">
        <v>46090</v>
      </c>
      <c r="B472" s="14" t="s">
        <v>6</v>
      </c>
      <c r="C472" s="15" t="s">
        <v>37</v>
      </c>
      <c r="D472" s="15" t="s">
        <v>31</v>
      </c>
      <c r="E472" s="14" t="str">
        <f ca="1">PROPER(TRIM(CLEAN(ShoeSales[[#This Row],[Brand]])))</f>
        <v>Clarks</v>
      </c>
      <c r="F472" s="15" t="s">
        <v>39</v>
      </c>
      <c r="G472" s="3">
        <v>7</v>
      </c>
      <c r="H472" s="15" t="s">
        <v>32</v>
      </c>
      <c r="I472" s="5">
        <f>VLOOKUP(ShoeSales[[#This Row],[Product]],Price!$A$2:C479,2,)</f>
        <v>54</v>
      </c>
      <c r="J472" s="5">
        <f>VLOOKUP(ShoeSales[[#This Row],[Product]],Price!$A$2:C479,3,)</f>
        <v>28</v>
      </c>
      <c r="K472" s="5">
        <f>ShoeSales[[#This Row],[Quantity]]*ShoeSales[[#This Row],[Unit_price]]</f>
        <v>378</v>
      </c>
      <c r="L472" s="5">
        <f>ShoeSales[[#This Row],[Quantity]]*ShoeSales[[#This Row],[Unit_cost]]</f>
        <v>196</v>
      </c>
      <c r="M472" s="5">
        <f>ShoeSales[[#This Row],[Revenue]]-ShoeSales[[#This Row],[Total_cost]]</f>
        <v>182</v>
      </c>
      <c r="N472" s="11">
        <f>ShoeSales[[#This Row],[Profit]]/ShoeSales[[#This Row],[Revenue]]</f>
        <v>0.48148148148148145</v>
      </c>
    </row>
    <row r="473" spans="1:14" ht="14.25" customHeight="1" x14ac:dyDescent="0.25">
      <c r="A473" s="8">
        <v>46211</v>
      </c>
      <c r="B473" s="14" t="s">
        <v>15</v>
      </c>
      <c r="C473" s="16" t="s">
        <v>27</v>
      </c>
      <c r="D473" s="16" t="s">
        <v>31</v>
      </c>
      <c r="E473" s="14" t="str">
        <f ca="1">PROPER(TRIM(CLEAN(ShoeSales[[#This Row],[Brand]])))</f>
        <v>Nike</v>
      </c>
      <c r="F473" s="16" t="s">
        <v>40</v>
      </c>
      <c r="G473" s="4">
        <v>6</v>
      </c>
      <c r="H473" s="16" t="s">
        <v>45</v>
      </c>
      <c r="I473" s="5">
        <f>VLOOKUP(ShoeSales[[#This Row],[Product]],Price!$A$2:C480,2,)</f>
        <v>119</v>
      </c>
      <c r="J473" s="5">
        <f>VLOOKUP(ShoeSales[[#This Row],[Product]],Price!$A$2:C480,3,)</f>
        <v>67</v>
      </c>
      <c r="K473" s="5">
        <f>ShoeSales[[#This Row],[Quantity]]*ShoeSales[[#This Row],[Unit_price]]</f>
        <v>714</v>
      </c>
      <c r="L473" s="5">
        <f>ShoeSales[[#This Row],[Quantity]]*ShoeSales[[#This Row],[Unit_cost]]</f>
        <v>402</v>
      </c>
      <c r="M473" s="5">
        <f>ShoeSales[[#This Row],[Revenue]]-ShoeSales[[#This Row],[Total_cost]]</f>
        <v>312</v>
      </c>
      <c r="N473" s="11">
        <f>ShoeSales[[#This Row],[Profit]]/ShoeSales[[#This Row],[Revenue]]</f>
        <v>0.43697478991596639</v>
      </c>
    </row>
    <row r="474" spans="1:14" ht="14.25" customHeight="1" x14ac:dyDescent="0.25">
      <c r="A474" s="7">
        <v>46060</v>
      </c>
      <c r="B474" s="14" t="s">
        <v>7</v>
      </c>
      <c r="C474" s="15" t="s">
        <v>27</v>
      </c>
      <c r="D474" s="15" t="s">
        <v>31</v>
      </c>
      <c r="E474" s="14" t="str">
        <f ca="1">PROPER(TRIM(CLEAN(ShoeSales[[#This Row],[Brand]])))</f>
        <v>Nike</v>
      </c>
      <c r="F474" s="15" t="s">
        <v>46</v>
      </c>
      <c r="G474" s="3">
        <v>13</v>
      </c>
      <c r="H474" s="15" t="s">
        <v>45</v>
      </c>
      <c r="I474" s="5">
        <f>VLOOKUP(ShoeSales[[#This Row],[Product]],Price!$A$2:C481,2,)</f>
        <v>32</v>
      </c>
      <c r="J474" s="5">
        <f>VLOOKUP(ShoeSales[[#This Row],[Product]],Price!$A$2:C481,3,)</f>
        <v>14</v>
      </c>
      <c r="K474" s="5">
        <f>ShoeSales[[#This Row],[Quantity]]*ShoeSales[[#This Row],[Unit_price]]</f>
        <v>416</v>
      </c>
      <c r="L474" s="5">
        <f>ShoeSales[[#This Row],[Quantity]]*ShoeSales[[#This Row],[Unit_cost]]</f>
        <v>182</v>
      </c>
      <c r="M474" s="5">
        <f>ShoeSales[[#This Row],[Revenue]]-ShoeSales[[#This Row],[Total_cost]]</f>
        <v>234</v>
      </c>
      <c r="N474" s="11">
        <f>ShoeSales[[#This Row],[Profit]]/ShoeSales[[#This Row],[Revenue]]</f>
        <v>0.5625</v>
      </c>
    </row>
    <row r="475" spans="1:14" ht="14.25" customHeight="1" x14ac:dyDescent="0.25">
      <c r="A475" s="8">
        <v>46048</v>
      </c>
      <c r="B475" s="14" t="s">
        <v>5</v>
      </c>
      <c r="C475" s="16" t="s">
        <v>48</v>
      </c>
      <c r="D475" s="16" t="s">
        <v>31</v>
      </c>
      <c r="E475" s="14" t="str">
        <f ca="1">PROPER(TRIM(CLEAN(ShoeSales[[#This Row],[Brand]])))</f>
        <v>Clarks</v>
      </c>
      <c r="F475" s="16" t="s">
        <v>34</v>
      </c>
      <c r="G475" s="4">
        <v>4</v>
      </c>
      <c r="H475" s="16" t="s">
        <v>30</v>
      </c>
      <c r="I475" s="5">
        <f>VLOOKUP(ShoeSales[[#This Row],[Product]],Price!$A$2:C482,2,)</f>
        <v>89</v>
      </c>
      <c r="J475" s="5">
        <f>VLOOKUP(ShoeSales[[#This Row],[Product]],Price!$A$2:C482,3,)</f>
        <v>47</v>
      </c>
      <c r="K475" s="5">
        <f>ShoeSales[[#This Row],[Quantity]]*ShoeSales[[#This Row],[Unit_price]]</f>
        <v>356</v>
      </c>
      <c r="L475" s="5">
        <f>ShoeSales[[#This Row],[Quantity]]*ShoeSales[[#This Row],[Unit_cost]]</f>
        <v>188</v>
      </c>
      <c r="M475" s="5">
        <f>ShoeSales[[#This Row],[Revenue]]-ShoeSales[[#This Row],[Total_cost]]</f>
        <v>168</v>
      </c>
      <c r="N475" s="11">
        <f>ShoeSales[[#This Row],[Profit]]/ShoeSales[[#This Row],[Revenue]]</f>
        <v>0.47191011235955055</v>
      </c>
    </row>
    <row r="476" spans="1:14" ht="14.25" customHeight="1" x14ac:dyDescent="0.25">
      <c r="A476" s="7">
        <v>46234</v>
      </c>
      <c r="B476" s="14" t="s">
        <v>15</v>
      </c>
      <c r="C476" s="15" t="s">
        <v>27</v>
      </c>
      <c r="D476" s="15" t="s">
        <v>42</v>
      </c>
      <c r="E476" s="14" t="str">
        <f ca="1">PROPER(TRIM(CLEAN(ShoeSales[[#This Row],[Brand]])))</f>
        <v>Zara</v>
      </c>
      <c r="F476" s="15" t="s">
        <v>50</v>
      </c>
      <c r="G476" s="3">
        <v>3</v>
      </c>
      <c r="H476" s="15" t="s">
        <v>30</v>
      </c>
      <c r="I476" s="5">
        <f>VLOOKUP(ShoeSales[[#This Row],[Product]],Price!$A$2:C483,2,)</f>
        <v>119</v>
      </c>
      <c r="J476" s="5">
        <f>VLOOKUP(ShoeSales[[#This Row],[Product]],Price!$A$2:C483,3,)</f>
        <v>67</v>
      </c>
      <c r="K476" s="5">
        <f>ShoeSales[[#This Row],[Quantity]]*ShoeSales[[#This Row],[Unit_price]]</f>
        <v>357</v>
      </c>
      <c r="L476" s="5">
        <f>ShoeSales[[#This Row],[Quantity]]*ShoeSales[[#This Row],[Unit_cost]]</f>
        <v>201</v>
      </c>
      <c r="M476" s="5">
        <f>ShoeSales[[#This Row],[Revenue]]-ShoeSales[[#This Row],[Total_cost]]</f>
        <v>156</v>
      </c>
      <c r="N476" s="11">
        <f>ShoeSales[[#This Row],[Profit]]/ShoeSales[[#This Row],[Revenue]]</f>
        <v>0.43697478991596639</v>
      </c>
    </row>
    <row r="477" spans="1:14" ht="14.25" customHeight="1" x14ac:dyDescent="0.25">
      <c r="A477" s="8">
        <v>46078</v>
      </c>
      <c r="B477" s="14" t="s">
        <v>9</v>
      </c>
      <c r="C477" s="16" t="s">
        <v>48</v>
      </c>
      <c r="D477" s="16" t="s">
        <v>42</v>
      </c>
      <c r="E477" s="14" t="str">
        <f ca="1">PROPER(TRIM(CLEAN(ShoeSales[[#This Row],[Brand]])))</f>
        <v>Zara</v>
      </c>
      <c r="F477" s="16" t="s">
        <v>36</v>
      </c>
      <c r="G477" s="4">
        <v>13</v>
      </c>
      <c r="H477" s="16" t="s">
        <v>45</v>
      </c>
      <c r="I477" s="5">
        <f>VLOOKUP(ShoeSales[[#This Row],[Product]],Price!$A$2:C484,2,)</f>
        <v>128</v>
      </c>
      <c r="J477" s="5">
        <f>VLOOKUP(ShoeSales[[#This Row],[Product]],Price!$A$2:C484,3,)</f>
        <v>72</v>
      </c>
      <c r="K477" s="5">
        <f>ShoeSales[[#This Row],[Quantity]]*ShoeSales[[#This Row],[Unit_price]]</f>
        <v>1664</v>
      </c>
      <c r="L477" s="5">
        <f>ShoeSales[[#This Row],[Quantity]]*ShoeSales[[#This Row],[Unit_cost]]</f>
        <v>936</v>
      </c>
      <c r="M477" s="5">
        <f>ShoeSales[[#This Row],[Revenue]]-ShoeSales[[#This Row],[Total_cost]]</f>
        <v>728</v>
      </c>
      <c r="N477" s="11">
        <f>ShoeSales[[#This Row],[Profit]]/ShoeSales[[#This Row],[Revenue]]</f>
        <v>0.4375</v>
      </c>
    </row>
    <row r="478" spans="1:14" ht="14.25" customHeight="1" x14ac:dyDescent="0.25">
      <c r="A478" s="7">
        <v>46131</v>
      </c>
      <c r="B478" s="14" t="s">
        <v>8</v>
      </c>
      <c r="C478" s="15" t="s">
        <v>48</v>
      </c>
      <c r="D478" s="15" t="s">
        <v>42</v>
      </c>
      <c r="E478" s="14" t="str">
        <f ca="1">PROPER(TRIM(CLEAN(ShoeSales[[#This Row],[Brand]])))</f>
        <v>Nike</v>
      </c>
      <c r="F478" s="15" t="s">
        <v>53</v>
      </c>
      <c r="G478" s="3">
        <v>9</v>
      </c>
      <c r="H478" s="15" t="s">
        <v>30</v>
      </c>
      <c r="I478" s="5">
        <f>VLOOKUP(ShoeSales[[#This Row],[Product]],Price!$A$2:C485,2,)</f>
        <v>76</v>
      </c>
      <c r="J478" s="5">
        <f>VLOOKUP(ShoeSales[[#This Row],[Product]],Price!$A$2:C485,3,)</f>
        <v>39</v>
      </c>
      <c r="K478" s="5">
        <f>ShoeSales[[#This Row],[Quantity]]*ShoeSales[[#This Row],[Unit_price]]</f>
        <v>684</v>
      </c>
      <c r="L478" s="5">
        <f>ShoeSales[[#This Row],[Quantity]]*ShoeSales[[#This Row],[Unit_cost]]</f>
        <v>351</v>
      </c>
      <c r="M478" s="5">
        <f>ShoeSales[[#This Row],[Revenue]]-ShoeSales[[#This Row],[Total_cost]]</f>
        <v>333</v>
      </c>
      <c r="N478" s="11">
        <f>ShoeSales[[#This Row],[Profit]]/ShoeSales[[#This Row],[Revenue]]</f>
        <v>0.48684210526315791</v>
      </c>
    </row>
    <row r="479" spans="1:14" ht="14.25" customHeight="1" x14ac:dyDescent="0.25">
      <c r="A479" s="8">
        <v>46167</v>
      </c>
      <c r="B479" s="14" t="s">
        <v>6</v>
      </c>
      <c r="C479" s="16" t="s">
        <v>48</v>
      </c>
      <c r="D479" s="16" t="s">
        <v>31</v>
      </c>
      <c r="E479" s="14" t="str">
        <f ca="1">PROPER(TRIM(CLEAN(ShoeSales[[#This Row],[Brand]])))</f>
        <v>Steve Madden</v>
      </c>
      <c r="F479" s="16" t="s">
        <v>46</v>
      </c>
      <c r="G479" s="4">
        <v>10</v>
      </c>
      <c r="H479" s="16" t="s">
        <v>30</v>
      </c>
      <c r="I479" s="5">
        <f>VLOOKUP(ShoeSales[[#This Row],[Product]],Price!$A$2:C486,2,)</f>
        <v>54</v>
      </c>
      <c r="J479" s="5">
        <f>VLOOKUP(ShoeSales[[#This Row],[Product]],Price!$A$2:C486,3,)</f>
        <v>28</v>
      </c>
      <c r="K479" s="5">
        <f>ShoeSales[[#This Row],[Quantity]]*ShoeSales[[#This Row],[Unit_price]]</f>
        <v>540</v>
      </c>
      <c r="L479" s="5">
        <f>ShoeSales[[#This Row],[Quantity]]*ShoeSales[[#This Row],[Unit_cost]]</f>
        <v>280</v>
      </c>
      <c r="M479" s="5">
        <f>ShoeSales[[#This Row],[Revenue]]-ShoeSales[[#This Row],[Total_cost]]</f>
        <v>260</v>
      </c>
      <c r="N479" s="11">
        <f>ShoeSales[[#This Row],[Profit]]/ShoeSales[[#This Row],[Revenue]]</f>
        <v>0.48148148148148145</v>
      </c>
    </row>
    <row r="480" spans="1:14" ht="14.25" customHeight="1" x14ac:dyDescent="0.25">
      <c r="A480" s="7">
        <v>46031</v>
      </c>
      <c r="B480" s="14" t="s">
        <v>15</v>
      </c>
      <c r="C480" s="15" t="s">
        <v>48</v>
      </c>
      <c r="D480" s="15" t="s">
        <v>33</v>
      </c>
      <c r="E480" s="14" t="str">
        <f ca="1">PROPER(TRIM(CLEAN(ShoeSales[[#This Row],[Brand]])))</f>
        <v>Nike</v>
      </c>
      <c r="F480" s="15" t="s">
        <v>40</v>
      </c>
      <c r="G480" s="3">
        <v>6</v>
      </c>
      <c r="H480" s="15" t="s">
        <v>41</v>
      </c>
      <c r="I480" s="5">
        <f>VLOOKUP(ShoeSales[[#This Row],[Product]],Price!$A$2:C487,2,)</f>
        <v>119</v>
      </c>
      <c r="J480" s="5">
        <f>VLOOKUP(ShoeSales[[#This Row],[Product]],Price!$A$2:C487,3,)</f>
        <v>67</v>
      </c>
      <c r="K480" s="5">
        <f>ShoeSales[[#This Row],[Quantity]]*ShoeSales[[#This Row],[Unit_price]]</f>
        <v>714</v>
      </c>
      <c r="L480" s="5">
        <f>ShoeSales[[#This Row],[Quantity]]*ShoeSales[[#This Row],[Unit_cost]]</f>
        <v>402</v>
      </c>
      <c r="M480" s="5">
        <f>ShoeSales[[#This Row],[Revenue]]-ShoeSales[[#This Row],[Total_cost]]</f>
        <v>312</v>
      </c>
      <c r="N480" s="11">
        <f>ShoeSales[[#This Row],[Profit]]/ShoeSales[[#This Row],[Revenue]]</f>
        <v>0.43697478991596639</v>
      </c>
    </row>
    <row r="481" spans="1:14" ht="14.25" customHeight="1" x14ac:dyDescent="0.25">
      <c r="A481" s="8">
        <v>46214</v>
      </c>
      <c r="B481" s="14" t="s">
        <v>7</v>
      </c>
      <c r="C481" s="16" t="s">
        <v>48</v>
      </c>
      <c r="D481" s="16" t="s">
        <v>31</v>
      </c>
      <c r="E481" s="14" t="str">
        <f ca="1">PROPER(TRIM(CLEAN(ShoeSales[[#This Row],[Brand]])))</f>
        <v>Clarks</v>
      </c>
      <c r="F481" s="16" t="s">
        <v>40</v>
      </c>
      <c r="G481" s="4">
        <v>15</v>
      </c>
      <c r="H481" s="16" t="s">
        <v>32</v>
      </c>
      <c r="I481" s="5">
        <f>VLOOKUP(ShoeSales[[#This Row],[Product]],Price!$A$2:C488,2,)</f>
        <v>32</v>
      </c>
      <c r="J481" s="5">
        <f>VLOOKUP(ShoeSales[[#This Row],[Product]],Price!$A$2:C488,3,)</f>
        <v>14</v>
      </c>
      <c r="K481" s="5">
        <f>ShoeSales[[#This Row],[Quantity]]*ShoeSales[[#This Row],[Unit_price]]</f>
        <v>480</v>
      </c>
      <c r="L481" s="5">
        <f>ShoeSales[[#This Row],[Quantity]]*ShoeSales[[#This Row],[Unit_cost]]</f>
        <v>210</v>
      </c>
      <c r="M481" s="5">
        <f>ShoeSales[[#This Row],[Revenue]]-ShoeSales[[#This Row],[Total_cost]]</f>
        <v>270</v>
      </c>
      <c r="N481" s="11">
        <f>ShoeSales[[#This Row],[Profit]]/ShoeSales[[#This Row],[Revenue]]</f>
        <v>0.5625</v>
      </c>
    </row>
    <row r="482" spans="1:14" ht="14.25" customHeight="1" x14ac:dyDescent="0.25">
      <c r="A482" s="7">
        <v>46219</v>
      </c>
      <c r="B482" s="14" t="s">
        <v>15</v>
      </c>
      <c r="C482" s="15" t="s">
        <v>27</v>
      </c>
      <c r="D482" s="15" t="s">
        <v>42</v>
      </c>
      <c r="E482" s="14" t="str">
        <f ca="1">PROPER(TRIM(CLEAN(ShoeSales[[#This Row],[Brand]])))</f>
        <v>Clarks</v>
      </c>
      <c r="F482" s="15" t="s">
        <v>35</v>
      </c>
      <c r="G482" s="3">
        <v>11</v>
      </c>
      <c r="H482" s="15" t="s">
        <v>32</v>
      </c>
      <c r="I482" s="5">
        <f>VLOOKUP(ShoeSales[[#This Row],[Product]],Price!$A$2:C489,2,)</f>
        <v>119</v>
      </c>
      <c r="J482" s="5">
        <f>VLOOKUP(ShoeSales[[#This Row],[Product]],Price!$A$2:C489,3,)</f>
        <v>67</v>
      </c>
      <c r="K482" s="5">
        <f>ShoeSales[[#This Row],[Quantity]]*ShoeSales[[#This Row],[Unit_price]]</f>
        <v>1309</v>
      </c>
      <c r="L482" s="5">
        <f>ShoeSales[[#This Row],[Quantity]]*ShoeSales[[#This Row],[Unit_cost]]</f>
        <v>737</v>
      </c>
      <c r="M482" s="5">
        <f>ShoeSales[[#This Row],[Revenue]]-ShoeSales[[#This Row],[Total_cost]]</f>
        <v>572</v>
      </c>
      <c r="N482" s="11">
        <f>ShoeSales[[#This Row],[Profit]]/ShoeSales[[#This Row],[Revenue]]</f>
        <v>0.43697478991596639</v>
      </c>
    </row>
    <row r="483" spans="1:14" ht="14.25" customHeight="1" x14ac:dyDescent="0.25">
      <c r="A483" s="8">
        <v>46080</v>
      </c>
      <c r="B483" s="14" t="s">
        <v>5</v>
      </c>
      <c r="C483" s="16" t="s">
        <v>48</v>
      </c>
      <c r="D483" s="16" t="s">
        <v>42</v>
      </c>
      <c r="E483" s="14" t="str">
        <f ca="1">PROPER(TRIM(CLEAN(ShoeSales[[#This Row],[Brand]])))</f>
        <v>Zara</v>
      </c>
      <c r="F483" s="16" t="s">
        <v>51</v>
      </c>
      <c r="G483" s="4">
        <v>9</v>
      </c>
      <c r="H483" s="16" t="s">
        <v>41</v>
      </c>
      <c r="I483" s="5">
        <f>VLOOKUP(ShoeSales[[#This Row],[Product]],Price!$A$2:C490,2,)</f>
        <v>89</v>
      </c>
      <c r="J483" s="5">
        <f>VLOOKUP(ShoeSales[[#This Row],[Product]],Price!$A$2:C490,3,)</f>
        <v>47</v>
      </c>
      <c r="K483" s="5">
        <f>ShoeSales[[#This Row],[Quantity]]*ShoeSales[[#This Row],[Unit_price]]</f>
        <v>801</v>
      </c>
      <c r="L483" s="5">
        <f>ShoeSales[[#This Row],[Quantity]]*ShoeSales[[#This Row],[Unit_cost]]</f>
        <v>423</v>
      </c>
      <c r="M483" s="5">
        <f>ShoeSales[[#This Row],[Revenue]]-ShoeSales[[#This Row],[Total_cost]]</f>
        <v>378</v>
      </c>
      <c r="N483" s="11">
        <f>ShoeSales[[#This Row],[Profit]]/ShoeSales[[#This Row],[Revenue]]</f>
        <v>0.47191011235955055</v>
      </c>
    </row>
    <row r="484" spans="1:14" ht="14.25" customHeight="1" x14ac:dyDescent="0.25">
      <c r="A484" s="7">
        <v>46173</v>
      </c>
      <c r="B484" s="14" t="s">
        <v>7</v>
      </c>
      <c r="C484" s="15" t="s">
        <v>27</v>
      </c>
      <c r="D484" s="15" t="s">
        <v>42</v>
      </c>
      <c r="E484" s="14" t="str">
        <f ca="1">PROPER(TRIM(CLEAN(ShoeSales[[#This Row],[Brand]])))</f>
        <v>Zara</v>
      </c>
      <c r="F484" s="15" t="s">
        <v>49</v>
      </c>
      <c r="G484" s="3">
        <v>8</v>
      </c>
      <c r="H484" s="15" t="s">
        <v>45</v>
      </c>
      <c r="I484" s="5">
        <f>VLOOKUP(ShoeSales[[#This Row],[Product]],Price!$A$2:C491,2,)</f>
        <v>32</v>
      </c>
      <c r="J484" s="5">
        <f>VLOOKUP(ShoeSales[[#This Row],[Product]],Price!$A$2:C491,3,)</f>
        <v>14</v>
      </c>
      <c r="K484" s="5">
        <f>ShoeSales[[#This Row],[Quantity]]*ShoeSales[[#This Row],[Unit_price]]</f>
        <v>256</v>
      </c>
      <c r="L484" s="5">
        <f>ShoeSales[[#This Row],[Quantity]]*ShoeSales[[#This Row],[Unit_cost]]</f>
        <v>112</v>
      </c>
      <c r="M484" s="5">
        <f>ShoeSales[[#This Row],[Revenue]]-ShoeSales[[#This Row],[Total_cost]]</f>
        <v>144</v>
      </c>
      <c r="N484" s="11">
        <f>ShoeSales[[#This Row],[Profit]]/ShoeSales[[#This Row],[Revenue]]</f>
        <v>0.5625</v>
      </c>
    </row>
    <row r="485" spans="1:14" ht="14.25" customHeight="1" x14ac:dyDescent="0.25">
      <c r="A485" s="8">
        <v>46145</v>
      </c>
      <c r="B485" s="14" t="s">
        <v>8</v>
      </c>
      <c r="C485" s="16" t="s">
        <v>27</v>
      </c>
      <c r="D485" s="16" t="s">
        <v>28</v>
      </c>
      <c r="E485" s="14" t="str">
        <f ca="1">PROPER(TRIM(CLEAN(ShoeSales[[#This Row],[Brand]])))</f>
        <v>Clarks</v>
      </c>
      <c r="F485" s="16" t="s">
        <v>34</v>
      </c>
      <c r="G485" s="4">
        <v>13</v>
      </c>
      <c r="H485" s="16" t="s">
        <v>45</v>
      </c>
      <c r="I485" s="5">
        <f>VLOOKUP(ShoeSales[[#This Row],[Product]],Price!$A$2:C492,2,)</f>
        <v>76</v>
      </c>
      <c r="J485" s="5">
        <f>VLOOKUP(ShoeSales[[#This Row],[Product]],Price!$A$2:C492,3,)</f>
        <v>39</v>
      </c>
      <c r="K485" s="5">
        <f>ShoeSales[[#This Row],[Quantity]]*ShoeSales[[#This Row],[Unit_price]]</f>
        <v>988</v>
      </c>
      <c r="L485" s="5">
        <f>ShoeSales[[#This Row],[Quantity]]*ShoeSales[[#This Row],[Unit_cost]]</f>
        <v>507</v>
      </c>
      <c r="M485" s="5">
        <f>ShoeSales[[#This Row],[Revenue]]-ShoeSales[[#This Row],[Total_cost]]</f>
        <v>481</v>
      </c>
      <c r="N485" s="11">
        <f>ShoeSales[[#This Row],[Profit]]/ShoeSales[[#This Row],[Revenue]]</f>
        <v>0.48684210526315791</v>
      </c>
    </row>
    <row r="486" spans="1:14" ht="14.25" customHeight="1" x14ac:dyDescent="0.25">
      <c r="A486" s="7">
        <v>46215</v>
      </c>
      <c r="B486" s="14" t="s">
        <v>9</v>
      </c>
      <c r="C486" s="15" t="s">
        <v>48</v>
      </c>
      <c r="D486" s="15" t="s">
        <v>28</v>
      </c>
      <c r="E486" s="14" t="str">
        <f ca="1">PROPER(TRIM(CLEAN(ShoeSales[[#This Row],[Brand]])))</f>
        <v>Zara</v>
      </c>
      <c r="F486" s="15" t="s">
        <v>44</v>
      </c>
      <c r="G486" s="3">
        <v>6</v>
      </c>
      <c r="H486" s="15" t="s">
        <v>41</v>
      </c>
      <c r="I486" s="5">
        <f>VLOOKUP(ShoeSales[[#This Row],[Product]],Price!$A$2:C493,2,)</f>
        <v>128</v>
      </c>
      <c r="J486" s="5">
        <f>VLOOKUP(ShoeSales[[#This Row],[Product]],Price!$A$2:C493,3,)</f>
        <v>72</v>
      </c>
      <c r="K486" s="5">
        <f>ShoeSales[[#This Row],[Quantity]]*ShoeSales[[#This Row],[Unit_price]]</f>
        <v>768</v>
      </c>
      <c r="L486" s="5">
        <f>ShoeSales[[#This Row],[Quantity]]*ShoeSales[[#This Row],[Unit_cost]]</f>
        <v>432</v>
      </c>
      <c r="M486" s="5">
        <f>ShoeSales[[#This Row],[Revenue]]-ShoeSales[[#This Row],[Total_cost]]</f>
        <v>336</v>
      </c>
      <c r="N486" s="11">
        <f>ShoeSales[[#This Row],[Profit]]/ShoeSales[[#This Row],[Revenue]]</f>
        <v>0.4375</v>
      </c>
    </row>
    <row r="487" spans="1:14" ht="14.25" customHeight="1" x14ac:dyDescent="0.25">
      <c r="A487" s="8">
        <v>46026</v>
      </c>
      <c r="B487" s="14" t="s">
        <v>10</v>
      </c>
      <c r="C487" s="16" t="s">
        <v>48</v>
      </c>
      <c r="D487" s="16" t="s">
        <v>42</v>
      </c>
      <c r="E487" s="14" t="str">
        <f ca="1">PROPER(TRIM(CLEAN(ShoeSales[[#This Row],[Brand]])))</f>
        <v>Timberland</v>
      </c>
      <c r="F487" s="16" t="s">
        <v>46</v>
      </c>
      <c r="G487" s="4">
        <v>3</v>
      </c>
      <c r="H487" s="16" t="s">
        <v>45</v>
      </c>
      <c r="I487" s="5">
        <f>VLOOKUP(ShoeSales[[#This Row],[Product]],Price!$A$2:C494,2,)</f>
        <v>105</v>
      </c>
      <c r="J487" s="5">
        <f>VLOOKUP(ShoeSales[[#This Row],[Product]],Price!$A$2:C494,3,)</f>
        <v>58</v>
      </c>
      <c r="K487" s="5">
        <f>ShoeSales[[#This Row],[Quantity]]*ShoeSales[[#This Row],[Unit_price]]</f>
        <v>315</v>
      </c>
      <c r="L487" s="5">
        <f>ShoeSales[[#This Row],[Quantity]]*ShoeSales[[#This Row],[Unit_cost]]</f>
        <v>174</v>
      </c>
      <c r="M487" s="5">
        <f>ShoeSales[[#This Row],[Revenue]]-ShoeSales[[#This Row],[Total_cost]]</f>
        <v>141</v>
      </c>
      <c r="N487" s="11">
        <f>ShoeSales[[#This Row],[Profit]]/ShoeSales[[#This Row],[Revenue]]</f>
        <v>0.44761904761904764</v>
      </c>
    </row>
    <row r="488" spans="1:14" ht="14.25" customHeight="1" x14ac:dyDescent="0.25">
      <c r="A488" s="7">
        <v>46078</v>
      </c>
      <c r="B488" s="14" t="s">
        <v>7</v>
      </c>
      <c r="C488" s="15" t="s">
        <v>27</v>
      </c>
      <c r="D488" s="15" t="s">
        <v>42</v>
      </c>
      <c r="E488" s="14" t="str">
        <f ca="1">PROPER(TRIM(CLEAN(ShoeSales[[#This Row],[Brand]])))</f>
        <v>Clarks</v>
      </c>
      <c r="F488" s="15" t="s">
        <v>47</v>
      </c>
      <c r="G488" s="3">
        <v>8</v>
      </c>
      <c r="H488" s="15" t="s">
        <v>30</v>
      </c>
      <c r="I488" s="5">
        <f>VLOOKUP(ShoeSales[[#This Row],[Product]],Price!$A$2:C495,2,)</f>
        <v>32</v>
      </c>
      <c r="J488" s="5">
        <f>VLOOKUP(ShoeSales[[#This Row],[Product]],Price!$A$2:C495,3,)</f>
        <v>14</v>
      </c>
      <c r="K488" s="5">
        <f>ShoeSales[[#This Row],[Quantity]]*ShoeSales[[#This Row],[Unit_price]]</f>
        <v>256</v>
      </c>
      <c r="L488" s="5">
        <f>ShoeSales[[#This Row],[Quantity]]*ShoeSales[[#This Row],[Unit_cost]]</f>
        <v>112</v>
      </c>
      <c r="M488" s="5">
        <f>ShoeSales[[#This Row],[Revenue]]-ShoeSales[[#This Row],[Total_cost]]</f>
        <v>144</v>
      </c>
      <c r="N488" s="11">
        <f>ShoeSales[[#This Row],[Profit]]/ShoeSales[[#This Row],[Revenue]]</f>
        <v>0.5625</v>
      </c>
    </row>
    <row r="489" spans="1:14" ht="14.25" customHeight="1" x14ac:dyDescent="0.25">
      <c r="A489" s="8">
        <v>46065</v>
      </c>
      <c r="B489" s="14" t="s">
        <v>5</v>
      </c>
      <c r="C489" s="16" t="s">
        <v>27</v>
      </c>
      <c r="D489" s="16" t="s">
        <v>31</v>
      </c>
      <c r="E489" s="14" t="str">
        <f ca="1">PROPER(TRIM(CLEAN(ShoeSales[[#This Row],[Brand]])))</f>
        <v>Zara</v>
      </c>
      <c r="F489" s="16" t="s">
        <v>51</v>
      </c>
      <c r="G489" s="4">
        <v>15</v>
      </c>
      <c r="H489" s="16" t="s">
        <v>45</v>
      </c>
      <c r="I489" s="5">
        <f>VLOOKUP(ShoeSales[[#This Row],[Product]],Price!$A$2:C496,2,)</f>
        <v>89</v>
      </c>
      <c r="J489" s="5">
        <f>VLOOKUP(ShoeSales[[#This Row],[Product]],Price!$A$2:C496,3,)</f>
        <v>47</v>
      </c>
      <c r="K489" s="5">
        <f>ShoeSales[[#This Row],[Quantity]]*ShoeSales[[#This Row],[Unit_price]]</f>
        <v>1335</v>
      </c>
      <c r="L489" s="5">
        <f>ShoeSales[[#This Row],[Quantity]]*ShoeSales[[#This Row],[Unit_cost]]</f>
        <v>705</v>
      </c>
      <c r="M489" s="5">
        <f>ShoeSales[[#This Row],[Revenue]]-ShoeSales[[#This Row],[Total_cost]]</f>
        <v>630</v>
      </c>
      <c r="N489" s="11">
        <f>ShoeSales[[#This Row],[Profit]]/ShoeSales[[#This Row],[Revenue]]</f>
        <v>0.47191011235955055</v>
      </c>
    </row>
    <row r="490" spans="1:14" ht="14.25" customHeight="1" x14ac:dyDescent="0.25">
      <c r="A490" s="7">
        <v>46218</v>
      </c>
      <c r="B490" s="14" t="s">
        <v>5</v>
      </c>
      <c r="C490" s="15" t="s">
        <v>27</v>
      </c>
      <c r="D490" s="15" t="s">
        <v>28</v>
      </c>
      <c r="E490" s="14" t="str">
        <f ca="1">PROPER(TRIM(CLEAN(ShoeSales[[#This Row],[Brand]])))</f>
        <v>Clarks</v>
      </c>
      <c r="F490" s="15" t="s">
        <v>36</v>
      </c>
      <c r="G490" s="3">
        <v>2</v>
      </c>
      <c r="H490" s="15" t="s">
        <v>30</v>
      </c>
      <c r="I490" s="5">
        <f>VLOOKUP(ShoeSales[[#This Row],[Product]],Price!$A$2:C497,2,)</f>
        <v>89</v>
      </c>
      <c r="J490" s="5">
        <f>VLOOKUP(ShoeSales[[#This Row],[Product]],Price!$A$2:C497,3,)</f>
        <v>47</v>
      </c>
      <c r="K490" s="5">
        <f>ShoeSales[[#This Row],[Quantity]]*ShoeSales[[#This Row],[Unit_price]]</f>
        <v>178</v>
      </c>
      <c r="L490" s="5">
        <f>ShoeSales[[#This Row],[Quantity]]*ShoeSales[[#This Row],[Unit_cost]]</f>
        <v>94</v>
      </c>
      <c r="M490" s="5">
        <f>ShoeSales[[#This Row],[Revenue]]-ShoeSales[[#This Row],[Total_cost]]</f>
        <v>84</v>
      </c>
      <c r="N490" s="11">
        <f>ShoeSales[[#This Row],[Profit]]/ShoeSales[[#This Row],[Revenue]]</f>
        <v>0.47191011235955055</v>
      </c>
    </row>
    <row r="491" spans="1:14" ht="14.25" customHeight="1" x14ac:dyDescent="0.25">
      <c r="A491" s="8">
        <v>46137</v>
      </c>
      <c r="B491" s="14" t="s">
        <v>12</v>
      </c>
      <c r="C491" s="16" t="s">
        <v>27</v>
      </c>
      <c r="D491" s="16" t="s">
        <v>28</v>
      </c>
      <c r="E491" s="14" t="str">
        <f ca="1">PROPER(TRIM(CLEAN(ShoeSales[[#This Row],[Brand]])))</f>
        <v>Clarks</v>
      </c>
      <c r="F491" s="16" t="s">
        <v>47</v>
      </c>
      <c r="G491" s="4">
        <v>10</v>
      </c>
      <c r="H491" s="16" t="s">
        <v>45</v>
      </c>
      <c r="I491" s="5">
        <f>VLOOKUP(ShoeSales[[#This Row],[Product]],Price!$A$2:C498,2,)</f>
        <v>112</v>
      </c>
      <c r="J491" s="5">
        <f>VLOOKUP(ShoeSales[[#This Row],[Product]],Price!$A$2:C498,3,)</f>
        <v>64</v>
      </c>
      <c r="K491" s="5">
        <f>ShoeSales[[#This Row],[Quantity]]*ShoeSales[[#This Row],[Unit_price]]</f>
        <v>1120</v>
      </c>
      <c r="L491" s="5">
        <f>ShoeSales[[#This Row],[Quantity]]*ShoeSales[[#This Row],[Unit_cost]]</f>
        <v>640</v>
      </c>
      <c r="M491" s="5">
        <f>ShoeSales[[#This Row],[Revenue]]-ShoeSales[[#This Row],[Total_cost]]</f>
        <v>480</v>
      </c>
      <c r="N491" s="11">
        <f>ShoeSales[[#This Row],[Profit]]/ShoeSales[[#This Row],[Revenue]]</f>
        <v>0.42857142857142855</v>
      </c>
    </row>
    <row r="492" spans="1:14" ht="14.25" customHeight="1" x14ac:dyDescent="0.25">
      <c r="A492" s="7">
        <v>46045</v>
      </c>
      <c r="B492" s="14" t="s">
        <v>6</v>
      </c>
      <c r="C492" s="15" t="s">
        <v>27</v>
      </c>
      <c r="D492" s="15" t="s">
        <v>28</v>
      </c>
      <c r="E492" s="14" t="str">
        <f ca="1">PROPER(TRIM(CLEAN(ShoeSales[[#This Row],[Brand]])))</f>
        <v>Nike</v>
      </c>
      <c r="F492" s="15" t="s">
        <v>46</v>
      </c>
      <c r="G492" s="3">
        <v>5</v>
      </c>
      <c r="H492" s="15" t="s">
        <v>30</v>
      </c>
      <c r="I492" s="5">
        <f>VLOOKUP(ShoeSales[[#This Row],[Product]],Price!$A$2:C499,2,)</f>
        <v>54</v>
      </c>
      <c r="J492" s="5">
        <f>VLOOKUP(ShoeSales[[#This Row],[Product]],Price!$A$2:C499,3,)</f>
        <v>28</v>
      </c>
      <c r="K492" s="5">
        <f>ShoeSales[[#This Row],[Quantity]]*ShoeSales[[#This Row],[Unit_price]]</f>
        <v>270</v>
      </c>
      <c r="L492" s="5">
        <f>ShoeSales[[#This Row],[Quantity]]*ShoeSales[[#This Row],[Unit_cost]]</f>
        <v>140</v>
      </c>
      <c r="M492" s="5">
        <f>ShoeSales[[#This Row],[Revenue]]-ShoeSales[[#This Row],[Total_cost]]</f>
        <v>130</v>
      </c>
      <c r="N492" s="11">
        <f>ShoeSales[[#This Row],[Profit]]/ShoeSales[[#This Row],[Revenue]]</f>
        <v>0.48148148148148145</v>
      </c>
    </row>
    <row r="493" spans="1:14" ht="14.25" customHeight="1" x14ac:dyDescent="0.25">
      <c r="A493" s="8">
        <v>46095</v>
      </c>
      <c r="B493" s="14" t="s">
        <v>7</v>
      </c>
      <c r="C493" s="16" t="s">
        <v>27</v>
      </c>
      <c r="D493" s="16" t="s">
        <v>42</v>
      </c>
      <c r="E493" s="14" t="str">
        <f ca="1">PROPER(TRIM(CLEAN(ShoeSales[[#This Row],[Brand]])))</f>
        <v>Zara</v>
      </c>
      <c r="F493" s="16" t="s">
        <v>35</v>
      </c>
      <c r="G493" s="4">
        <v>15</v>
      </c>
      <c r="H493" s="16" t="s">
        <v>41</v>
      </c>
      <c r="I493" s="5">
        <f>VLOOKUP(ShoeSales[[#This Row],[Product]],Price!$A$2:C500,2,)</f>
        <v>32</v>
      </c>
      <c r="J493" s="5">
        <f>VLOOKUP(ShoeSales[[#This Row],[Product]],Price!$A$2:C500,3,)</f>
        <v>14</v>
      </c>
      <c r="K493" s="5">
        <f>ShoeSales[[#This Row],[Quantity]]*ShoeSales[[#This Row],[Unit_price]]</f>
        <v>480</v>
      </c>
      <c r="L493" s="5">
        <f>ShoeSales[[#This Row],[Quantity]]*ShoeSales[[#This Row],[Unit_cost]]</f>
        <v>210</v>
      </c>
      <c r="M493" s="5">
        <f>ShoeSales[[#This Row],[Revenue]]-ShoeSales[[#This Row],[Total_cost]]</f>
        <v>270</v>
      </c>
      <c r="N493" s="11">
        <f>ShoeSales[[#This Row],[Profit]]/ShoeSales[[#This Row],[Revenue]]</f>
        <v>0.5625</v>
      </c>
    </row>
    <row r="494" spans="1:14" ht="14.25" customHeight="1" x14ac:dyDescent="0.25">
      <c r="A494" s="7">
        <v>46064</v>
      </c>
      <c r="B494" s="14" t="s">
        <v>9</v>
      </c>
      <c r="C494" s="15" t="s">
        <v>27</v>
      </c>
      <c r="D494" s="15" t="s">
        <v>31</v>
      </c>
      <c r="E494" s="14" t="str">
        <f ca="1">PROPER(TRIM(CLEAN(ShoeSales[[#This Row],[Brand]])))</f>
        <v>Steve Madden</v>
      </c>
      <c r="F494" s="15" t="s">
        <v>50</v>
      </c>
      <c r="G494" s="3">
        <v>15</v>
      </c>
      <c r="H494" s="15" t="s">
        <v>41</v>
      </c>
      <c r="I494" s="5">
        <f>VLOOKUP(ShoeSales[[#This Row],[Product]],Price!$A$2:C501,2,)</f>
        <v>128</v>
      </c>
      <c r="J494" s="5">
        <f>VLOOKUP(ShoeSales[[#This Row],[Product]],Price!$A$2:C501,3,)</f>
        <v>72</v>
      </c>
      <c r="K494" s="5">
        <f>ShoeSales[[#This Row],[Quantity]]*ShoeSales[[#This Row],[Unit_price]]</f>
        <v>1920</v>
      </c>
      <c r="L494" s="5">
        <f>ShoeSales[[#This Row],[Quantity]]*ShoeSales[[#This Row],[Unit_cost]]</f>
        <v>1080</v>
      </c>
      <c r="M494" s="5">
        <f>ShoeSales[[#This Row],[Revenue]]-ShoeSales[[#This Row],[Total_cost]]</f>
        <v>840</v>
      </c>
      <c r="N494" s="11">
        <f>ShoeSales[[#This Row],[Profit]]/ShoeSales[[#This Row],[Revenue]]</f>
        <v>0.4375</v>
      </c>
    </row>
    <row r="495" spans="1:14" ht="14.25" customHeight="1" x14ac:dyDescent="0.25">
      <c r="A495" s="8">
        <v>46154</v>
      </c>
      <c r="B495" s="14" t="s">
        <v>8</v>
      </c>
      <c r="C495" s="16" t="s">
        <v>52</v>
      </c>
      <c r="D495" s="16" t="s">
        <v>28</v>
      </c>
      <c r="E495" s="14" t="str">
        <f ca="1">PROPER(TRIM(CLEAN(ShoeSales[[#This Row],[Brand]])))</f>
        <v>Clarks</v>
      </c>
      <c r="F495" s="16" t="s">
        <v>34</v>
      </c>
      <c r="G495" s="4">
        <v>10</v>
      </c>
      <c r="H495" s="16" t="s">
        <v>32</v>
      </c>
      <c r="I495" s="5">
        <f>VLOOKUP(ShoeSales[[#This Row],[Product]],Price!$A$2:C502,2,)</f>
        <v>76</v>
      </c>
      <c r="J495" s="5">
        <f>VLOOKUP(ShoeSales[[#This Row],[Product]],Price!$A$2:C502,3,)</f>
        <v>39</v>
      </c>
      <c r="K495" s="5">
        <f>ShoeSales[[#This Row],[Quantity]]*ShoeSales[[#This Row],[Unit_price]]</f>
        <v>760</v>
      </c>
      <c r="L495" s="5">
        <f>ShoeSales[[#This Row],[Quantity]]*ShoeSales[[#This Row],[Unit_cost]]</f>
        <v>390</v>
      </c>
      <c r="M495" s="5">
        <f>ShoeSales[[#This Row],[Revenue]]-ShoeSales[[#This Row],[Total_cost]]</f>
        <v>370</v>
      </c>
      <c r="N495" s="11">
        <f>ShoeSales[[#This Row],[Profit]]/ShoeSales[[#This Row],[Revenue]]</f>
        <v>0.48684210526315791</v>
      </c>
    </row>
    <row r="496" spans="1:14" ht="14.25" customHeight="1" x14ac:dyDescent="0.25">
      <c r="A496" s="7">
        <v>46079</v>
      </c>
      <c r="B496" s="14" t="s">
        <v>9</v>
      </c>
      <c r="C496" s="15" t="s">
        <v>52</v>
      </c>
      <c r="D496" s="15" t="s">
        <v>28</v>
      </c>
      <c r="E496" s="14" t="str">
        <f ca="1">PROPER(TRIM(CLEAN(ShoeSales[[#This Row],[Brand]])))</f>
        <v>Clarks</v>
      </c>
      <c r="F496" s="15" t="s">
        <v>35</v>
      </c>
      <c r="G496" s="3">
        <v>5</v>
      </c>
      <c r="H496" s="15" t="s">
        <v>30</v>
      </c>
      <c r="I496" s="5">
        <f>VLOOKUP(ShoeSales[[#This Row],[Product]],Price!$A$2:C503,2,)</f>
        <v>128</v>
      </c>
      <c r="J496" s="5">
        <f>VLOOKUP(ShoeSales[[#This Row],[Product]],Price!$A$2:C503,3,)</f>
        <v>72</v>
      </c>
      <c r="K496" s="5">
        <f>ShoeSales[[#This Row],[Quantity]]*ShoeSales[[#This Row],[Unit_price]]</f>
        <v>640</v>
      </c>
      <c r="L496" s="5">
        <f>ShoeSales[[#This Row],[Quantity]]*ShoeSales[[#This Row],[Unit_cost]]</f>
        <v>360</v>
      </c>
      <c r="M496" s="5">
        <f>ShoeSales[[#This Row],[Revenue]]-ShoeSales[[#This Row],[Total_cost]]</f>
        <v>280</v>
      </c>
      <c r="N496" s="11">
        <f>ShoeSales[[#This Row],[Profit]]/ShoeSales[[#This Row],[Revenue]]</f>
        <v>0.4375</v>
      </c>
    </row>
    <row r="497" spans="1:14" ht="14.25" customHeight="1" x14ac:dyDescent="0.25">
      <c r="A497" s="8">
        <v>46133</v>
      </c>
      <c r="B497" s="14" t="s">
        <v>7</v>
      </c>
      <c r="C497" s="16" t="s">
        <v>52</v>
      </c>
      <c r="D497" s="16" t="s">
        <v>42</v>
      </c>
      <c r="E497" s="14" t="str">
        <f ca="1">PROPER(TRIM(CLEAN(ShoeSales[[#This Row],[Brand]])))</f>
        <v>Timberland</v>
      </c>
      <c r="F497" s="16" t="s">
        <v>46</v>
      </c>
      <c r="G497" s="4">
        <v>5</v>
      </c>
      <c r="H497" s="16" t="s">
        <v>41</v>
      </c>
      <c r="I497" s="5">
        <f>VLOOKUP(ShoeSales[[#This Row],[Product]],Price!$A$2:C504,2,)</f>
        <v>32</v>
      </c>
      <c r="J497" s="5">
        <f>VLOOKUP(ShoeSales[[#This Row],[Product]],Price!$A$2:C504,3,)</f>
        <v>14</v>
      </c>
      <c r="K497" s="5">
        <f>ShoeSales[[#This Row],[Quantity]]*ShoeSales[[#This Row],[Unit_price]]</f>
        <v>160</v>
      </c>
      <c r="L497" s="5">
        <f>ShoeSales[[#This Row],[Quantity]]*ShoeSales[[#This Row],[Unit_cost]]</f>
        <v>70</v>
      </c>
      <c r="M497" s="5">
        <f>ShoeSales[[#This Row],[Revenue]]-ShoeSales[[#This Row],[Total_cost]]</f>
        <v>90</v>
      </c>
      <c r="N497" s="11">
        <f>ShoeSales[[#This Row],[Profit]]/ShoeSales[[#This Row],[Revenue]]</f>
        <v>0.5625</v>
      </c>
    </row>
    <row r="498" spans="1:14" ht="14.25" customHeight="1" x14ac:dyDescent="0.25">
      <c r="A498" s="7">
        <v>46198</v>
      </c>
      <c r="B498" s="14" t="s">
        <v>6</v>
      </c>
      <c r="C498" s="15" t="s">
        <v>52</v>
      </c>
      <c r="D498" s="15" t="s">
        <v>31</v>
      </c>
      <c r="E498" s="14" t="str">
        <f ca="1">PROPER(TRIM(CLEAN(ShoeSales[[#This Row],[Brand]])))</f>
        <v>Zara</v>
      </c>
      <c r="F498" s="15" t="s">
        <v>29</v>
      </c>
      <c r="G498" s="3">
        <v>8</v>
      </c>
      <c r="H498" s="15" t="s">
        <v>30</v>
      </c>
      <c r="I498" s="5">
        <f>VLOOKUP(ShoeSales[[#This Row],[Product]],Price!$A$2:C505,2,)</f>
        <v>54</v>
      </c>
      <c r="J498" s="5">
        <f>VLOOKUP(ShoeSales[[#This Row],[Product]],Price!$A$2:C505,3,)</f>
        <v>28</v>
      </c>
      <c r="K498" s="5">
        <f>ShoeSales[[#This Row],[Quantity]]*ShoeSales[[#This Row],[Unit_price]]</f>
        <v>432</v>
      </c>
      <c r="L498" s="5">
        <f>ShoeSales[[#This Row],[Quantity]]*ShoeSales[[#This Row],[Unit_cost]]</f>
        <v>224</v>
      </c>
      <c r="M498" s="5">
        <f>ShoeSales[[#This Row],[Revenue]]-ShoeSales[[#This Row],[Total_cost]]</f>
        <v>208</v>
      </c>
      <c r="N498" s="11">
        <f>ShoeSales[[#This Row],[Profit]]/ShoeSales[[#This Row],[Revenue]]</f>
        <v>0.48148148148148145</v>
      </c>
    </row>
    <row r="499" spans="1:14" ht="14.25" customHeight="1" x14ac:dyDescent="0.25">
      <c r="A499" s="8">
        <v>46175</v>
      </c>
      <c r="B499" s="14" t="s">
        <v>10</v>
      </c>
      <c r="C499" s="16" t="s">
        <v>27</v>
      </c>
      <c r="D499" s="16" t="s">
        <v>33</v>
      </c>
      <c r="E499" s="14" t="str">
        <f ca="1">PROPER(TRIM(CLEAN(ShoeSales[[#This Row],[Brand]])))</f>
        <v>Steve Madden</v>
      </c>
      <c r="F499" s="16" t="s">
        <v>53</v>
      </c>
      <c r="G499" s="4">
        <v>3</v>
      </c>
      <c r="H499" s="16" t="s">
        <v>30</v>
      </c>
      <c r="I499" s="5">
        <f>VLOOKUP(ShoeSales[[#This Row],[Product]],Price!$A$2:C506,2,)</f>
        <v>105</v>
      </c>
      <c r="J499" s="5">
        <f>VLOOKUP(ShoeSales[[#This Row],[Product]],Price!$A$2:C506,3,)</f>
        <v>58</v>
      </c>
      <c r="K499" s="5">
        <f>ShoeSales[[#This Row],[Quantity]]*ShoeSales[[#This Row],[Unit_price]]</f>
        <v>315</v>
      </c>
      <c r="L499" s="5">
        <f>ShoeSales[[#This Row],[Quantity]]*ShoeSales[[#This Row],[Unit_cost]]</f>
        <v>174</v>
      </c>
      <c r="M499" s="5">
        <f>ShoeSales[[#This Row],[Revenue]]-ShoeSales[[#This Row],[Total_cost]]</f>
        <v>141</v>
      </c>
      <c r="N499" s="11">
        <f>ShoeSales[[#This Row],[Profit]]/ShoeSales[[#This Row],[Revenue]]</f>
        <v>0.44761904761904764</v>
      </c>
    </row>
    <row r="500" spans="1:14" ht="14.25" customHeight="1" x14ac:dyDescent="0.25">
      <c r="A500" s="7">
        <v>46184</v>
      </c>
      <c r="B500" s="14" t="s">
        <v>9</v>
      </c>
      <c r="C500" s="15" t="s">
        <v>48</v>
      </c>
      <c r="D500" s="15" t="s">
        <v>33</v>
      </c>
      <c r="E500" s="14" t="str">
        <f ca="1">PROPER(TRIM(CLEAN(ShoeSales[[#This Row],[Brand]])))</f>
        <v>Clarks</v>
      </c>
      <c r="F500" s="15" t="s">
        <v>34</v>
      </c>
      <c r="G500" s="3">
        <v>5</v>
      </c>
      <c r="H500" s="15" t="s">
        <v>45</v>
      </c>
      <c r="I500" s="5">
        <f>VLOOKUP(ShoeSales[[#This Row],[Product]],Price!$A$2:C507,2,)</f>
        <v>128</v>
      </c>
      <c r="J500" s="5">
        <f>VLOOKUP(ShoeSales[[#This Row],[Product]],Price!$A$2:C507,3,)</f>
        <v>72</v>
      </c>
      <c r="K500" s="5">
        <f>ShoeSales[[#This Row],[Quantity]]*ShoeSales[[#This Row],[Unit_price]]</f>
        <v>640</v>
      </c>
      <c r="L500" s="5">
        <f>ShoeSales[[#This Row],[Quantity]]*ShoeSales[[#This Row],[Unit_cost]]</f>
        <v>360</v>
      </c>
      <c r="M500" s="5">
        <f>ShoeSales[[#This Row],[Revenue]]-ShoeSales[[#This Row],[Total_cost]]</f>
        <v>280</v>
      </c>
      <c r="N500" s="11">
        <f>ShoeSales[[#This Row],[Profit]]/ShoeSales[[#This Row],[Revenue]]</f>
        <v>0.4375</v>
      </c>
    </row>
    <row r="501" spans="1:14" ht="14.25" customHeight="1" x14ac:dyDescent="0.25">
      <c r="A501" s="8">
        <v>46218</v>
      </c>
      <c r="B501" s="14" t="s">
        <v>7</v>
      </c>
      <c r="C501" s="16" t="s">
        <v>48</v>
      </c>
      <c r="D501" s="16" t="s">
        <v>28</v>
      </c>
      <c r="E501" s="14" t="str">
        <f ca="1">PROPER(TRIM(CLEAN(ShoeSales[[#This Row],[Brand]])))</f>
        <v>Clarks</v>
      </c>
      <c r="F501" s="16" t="s">
        <v>47</v>
      </c>
      <c r="G501" s="4">
        <v>4</v>
      </c>
      <c r="H501" s="16" t="s">
        <v>30</v>
      </c>
      <c r="I501" s="5">
        <f>VLOOKUP(ShoeSales[[#This Row],[Product]],Price!$A$2:C508,2,)</f>
        <v>32</v>
      </c>
      <c r="J501" s="5">
        <f>VLOOKUP(ShoeSales[[#This Row],[Product]],Price!$A$2:C508,3,)</f>
        <v>14</v>
      </c>
      <c r="K501" s="5">
        <f>ShoeSales[[#This Row],[Quantity]]*ShoeSales[[#This Row],[Unit_price]]</f>
        <v>128</v>
      </c>
      <c r="L501" s="5">
        <f>ShoeSales[[#This Row],[Quantity]]*ShoeSales[[#This Row],[Unit_cost]]</f>
        <v>56</v>
      </c>
      <c r="M501" s="5">
        <f>ShoeSales[[#This Row],[Revenue]]-ShoeSales[[#This Row],[Total_cost]]</f>
        <v>72</v>
      </c>
      <c r="N501" s="11">
        <f>ShoeSales[[#This Row],[Profit]]/ShoeSales[[#This Row],[Revenue]]</f>
        <v>0.5625</v>
      </c>
    </row>
    <row r="502" spans="1:14" ht="14.25" customHeight="1" x14ac:dyDescent="0.25"/>
    <row r="503" spans="1:14" ht="14.25" customHeight="1" x14ac:dyDescent="0.25"/>
    <row r="504" spans="1:14" ht="14.25" customHeight="1" x14ac:dyDescent="0.25"/>
    <row r="505" spans="1:14" ht="14.25" customHeight="1" x14ac:dyDescent="0.25"/>
    <row r="506" spans="1:14" ht="14.25" customHeight="1" x14ac:dyDescent="0.25"/>
    <row r="507" spans="1:14" ht="14.25" customHeight="1" x14ac:dyDescent="0.25"/>
    <row r="508" spans="1:14" ht="14.25" customHeight="1" x14ac:dyDescent="0.25"/>
    <row r="509" spans="1:14" ht="14.25" customHeight="1" x14ac:dyDescent="0.25"/>
    <row r="510" spans="1:14" ht="14.25" customHeight="1" x14ac:dyDescent="0.25"/>
    <row r="511" spans="1:14" ht="14.25" customHeight="1" x14ac:dyDescent="0.25"/>
    <row r="512" spans="1:14"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honeticPr fontId="8" type="noConversion"/>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defaultColWidth="14.42578125" defaultRowHeight="15" customHeight="1" x14ac:dyDescent="0.25"/>
  <cols>
    <col min="1" max="1" width="13.85546875" customWidth="1"/>
    <col min="2" max="2" width="11.85546875" customWidth="1"/>
    <col min="3" max="26" width="8.7109375" customWidth="1"/>
  </cols>
  <sheetData>
    <row r="1" spans="1:3" ht="14.25" customHeight="1" x14ac:dyDescent="0.25">
      <c r="A1" s="1" t="s">
        <v>0</v>
      </c>
      <c r="B1" s="1" t="s">
        <v>3</v>
      </c>
      <c r="C1" s="1" t="s">
        <v>4</v>
      </c>
    </row>
    <row r="2" spans="1:3" ht="14.25" customHeight="1" x14ac:dyDescent="0.25">
      <c r="A2" s="1" t="s">
        <v>5</v>
      </c>
      <c r="B2" s="2">
        <v>89</v>
      </c>
      <c r="C2" s="2">
        <v>47</v>
      </c>
    </row>
    <row r="3" spans="1:3" ht="14.25" customHeight="1" x14ac:dyDescent="0.25">
      <c r="A3" s="1" t="s">
        <v>6</v>
      </c>
      <c r="B3" s="2">
        <v>54</v>
      </c>
      <c r="C3" s="2">
        <v>28</v>
      </c>
    </row>
    <row r="4" spans="1:3" ht="14.25" customHeight="1" x14ac:dyDescent="0.25">
      <c r="A4" s="1" t="s">
        <v>7</v>
      </c>
      <c r="B4" s="2">
        <v>32</v>
      </c>
      <c r="C4" s="2">
        <v>14</v>
      </c>
    </row>
    <row r="5" spans="1:3" ht="14.25" customHeight="1" x14ac:dyDescent="0.25">
      <c r="A5" s="1" t="s">
        <v>8</v>
      </c>
      <c r="B5" s="2">
        <v>76</v>
      </c>
      <c r="C5" s="2">
        <v>39</v>
      </c>
    </row>
    <row r="6" spans="1:3" ht="14.25" customHeight="1" x14ac:dyDescent="0.25">
      <c r="A6" s="1" t="s">
        <v>9</v>
      </c>
      <c r="B6" s="2">
        <v>128</v>
      </c>
      <c r="C6" s="2">
        <v>72</v>
      </c>
    </row>
    <row r="7" spans="1:3" ht="14.25" customHeight="1" x14ac:dyDescent="0.25">
      <c r="A7" s="1" t="s">
        <v>10</v>
      </c>
      <c r="B7" s="2">
        <v>105</v>
      </c>
      <c r="C7" s="2">
        <v>58</v>
      </c>
    </row>
    <row r="8" spans="1:3" ht="14.25" customHeight="1" x14ac:dyDescent="0.25">
      <c r="A8" s="1" t="s">
        <v>12</v>
      </c>
      <c r="B8" s="2">
        <v>112</v>
      </c>
      <c r="C8" s="2">
        <v>64</v>
      </c>
    </row>
    <row r="9" spans="1:3" ht="14.25" customHeight="1" x14ac:dyDescent="0.25">
      <c r="A9" s="1" t="s">
        <v>15</v>
      </c>
      <c r="B9" s="2">
        <v>119</v>
      </c>
      <c r="C9" s="2">
        <v>67</v>
      </c>
    </row>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FED12-F9F1-44E4-A676-8923105AF58B}">
  <dimension ref="A1:BL19"/>
  <sheetViews>
    <sheetView showGridLines="0" tabSelected="1" topLeftCell="I1" zoomScale="90" zoomScaleNormal="90" workbookViewId="0">
      <selection activeCell="Q17" sqref="Q17"/>
    </sheetView>
  </sheetViews>
  <sheetFormatPr defaultRowHeight="15" x14ac:dyDescent="0.25"/>
  <cols>
    <col min="2" max="2" width="9.85546875" bestFit="1" customWidth="1"/>
    <col min="3" max="3" width="10.42578125" bestFit="1" customWidth="1"/>
    <col min="4" max="4" width="9.85546875" bestFit="1" customWidth="1"/>
    <col min="5" max="5" width="13.28515625" bestFit="1" customWidth="1"/>
    <col min="6" max="6" width="13.140625" bestFit="1" customWidth="1"/>
    <col min="7" max="7" width="4" style="27" customWidth="1"/>
    <col min="9" max="9" width="12" bestFit="1" customWidth="1"/>
    <col min="10" max="10" width="12.5703125" bestFit="1" customWidth="1"/>
    <col min="11" max="11" width="15.5703125" bestFit="1" customWidth="1"/>
    <col min="18" max="18" width="3.140625" style="25" customWidth="1"/>
    <col min="20" max="20" width="11.28515625" bestFit="1" customWidth="1"/>
    <col min="21" max="21" width="15.5703125" bestFit="1" customWidth="1"/>
    <col min="28" max="28" width="4" style="27" customWidth="1"/>
    <col min="30" max="30" width="11.42578125" bestFit="1" customWidth="1"/>
    <col min="31" max="31" width="9.85546875" bestFit="1" customWidth="1"/>
    <col min="32" max="33" width="13.28515625" bestFit="1" customWidth="1"/>
    <col min="37" max="37" width="2.42578125" style="30" customWidth="1"/>
    <col min="39" max="39" width="13.85546875" bestFit="1" customWidth="1"/>
    <col min="40" max="40" width="9.85546875" bestFit="1" customWidth="1"/>
    <col min="47" max="47" width="3" style="30" customWidth="1"/>
    <col min="49" max="49" width="11.28515625" bestFit="1" customWidth="1"/>
    <col min="50" max="50" width="9.85546875" bestFit="1" customWidth="1"/>
    <col min="51" max="51" width="9.28515625" bestFit="1" customWidth="1"/>
    <col min="60" max="60" width="2.42578125" style="30" customWidth="1"/>
    <col min="62" max="62" width="15.85546875" bestFit="1" customWidth="1"/>
    <col min="63" max="63" width="22" bestFit="1" customWidth="1"/>
    <col min="64" max="65" width="16.28515625" bestFit="1" customWidth="1"/>
    <col min="66" max="66" width="11.28515625" bestFit="1" customWidth="1"/>
  </cols>
  <sheetData>
    <row r="1" spans="1:64" x14ac:dyDescent="0.25">
      <c r="AD1" s="31" t="s">
        <v>79</v>
      </c>
      <c r="AE1" s="30"/>
    </row>
    <row r="2" spans="1:64" x14ac:dyDescent="0.25">
      <c r="A2" s="24"/>
      <c r="I2" s="29" t="s">
        <v>63</v>
      </c>
      <c r="J2" s="30"/>
      <c r="T2" s="31" t="s">
        <v>78</v>
      </c>
      <c r="U2" s="30"/>
      <c r="AD2" s="21" t="s">
        <v>20</v>
      </c>
      <c r="AE2" t="s">
        <v>76</v>
      </c>
      <c r="AM2" s="31" t="s">
        <v>85</v>
      </c>
      <c r="AN2" s="30"/>
    </row>
    <row r="3" spans="1:64" x14ac:dyDescent="0.25">
      <c r="B3" t="s">
        <v>76</v>
      </c>
      <c r="C3" t="s">
        <v>75</v>
      </c>
      <c r="D3" t="s">
        <v>74</v>
      </c>
      <c r="E3" t="s">
        <v>77</v>
      </c>
      <c r="F3" t="s">
        <v>73</v>
      </c>
      <c r="I3" s="21" t="s">
        <v>62</v>
      </c>
      <c r="J3" t="s">
        <v>89</v>
      </c>
      <c r="K3" t="s">
        <v>60</v>
      </c>
      <c r="T3" s="21" t="s">
        <v>72</v>
      </c>
      <c r="U3" t="s">
        <v>60</v>
      </c>
      <c r="AD3" s="22" t="s">
        <v>48</v>
      </c>
      <c r="AE3" s="26">
        <v>82917</v>
      </c>
      <c r="AM3" s="21" t="s">
        <v>23</v>
      </c>
      <c r="AN3" t="s">
        <v>76</v>
      </c>
      <c r="AW3" s="31" t="s">
        <v>86</v>
      </c>
      <c r="AX3" s="30"/>
      <c r="AY3" s="30"/>
      <c r="BJ3" s="31" t="s">
        <v>88</v>
      </c>
      <c r="BK3" s="33"/>
      <c r="BL3" s="33"/>
    </row>
    <row r="4" spans="1:64" x14ac:dyDescent="0.25">
      <c r="B4" s="26">
        <v>355048</v>
      </c>
      <c r="C4" s="26">
        <v>192713</v>
      </c>
      <c r="D4" s="26">
        <v>162335</v>
      </c>
      <c r="E4" s="12">
        <v>0.47075624043493502</v>
      </c>
      <c r="F4" s="23">
        <v>4012</v>
      </c>
      <c r="I4" s="22" t="s">
        <v>8</v>
      </c>
      <c r="J4" s="28">
        <v>19980</v>
      </c>
      <c r="K4" s="28">
        <v>41040</v>
      </c>
      <c r="T4" s="22" t="s">
        <v>64</v>
      </c>
      <c r="U4" s="23">
        <v>43801</v>
      </c>
      <c r="AD4" s="22" t="s">
        <v>27</v>
      </c>
      <c r="AE4" s="26">
        <v>179935</v>
      </c>
      <c r="AM4" s="22" t="s">
        <v>80</v>
      </c>
      <c r="AN4" s="26">
        <v>123543</v>
      </c>
      <c r="AW4" s="21" t="s">
        <v>24</v>
      </c>
      <c r="AX4" t="s">
        <v>76</v>
      </c>
      <c r="AY4" t="s">
        <v>74</v>
      </c>
      <c r="BJ4" s="21" t="s">
        <v>88</v>
      </c>
      <c r="BK4" t="s">
        <v>87</v>
      </c>
    </row>
    <row r="5" spans="1:64" x14ac:dyDescent="0.25">
      <c r="I5" s="22" t="s">
        <v>12</v>
      </c>
      <c r="J5" s="28">
        <v>25104</v>
      </c>
      <c r="K5" s="28">
        <v>58576</v>
      </c>
      <c r="T5" s="22" t="s">
        <v>65</v>
      </c>
      <c r="U5" s="23">
        <v>40664</v>
      </c>
      <c r="AD5" s="22" t="s">
        <v>52</v>
      </c>
      <c r="AE5" s="26">
        <v>53035</v>
      </c>
      <c r="AM5" s="22" t="s">
        <v>81</v>
      </c>
      <c r="AN5" s="26">
        <v>54029</v>
      </c>
      <c r="AW5" s="22" t="s">
        <v>40</v>
      </c>
      <c r="AX5" s="26">
        <v>39127</v>
      </c>
      <c r="AY5" s="32">
        <v>17892</v>
      </c>
      <c r="BJ5" s="22" t="s">
        <v>30</v>
      </c>
      <c r="BK5">
        <v>135</v>
      </c>
    </row>
    <row r="6" spans="1:64" x14ac:dyDescent="0.25">
      <c r="I6" s="22" t="s">
        <v>9</v>
      </c>
      <c r="J6" s="28">
        <v>27776</v>
      </c>
      <c r="K6" s="28">
        <v>63488</v>
      </c>
      <c r="T6" s="22" t="s">
        <v>66</v>
      </c>
      <c r="U6" s="23">
        <v>45492</v>
      </c>
      <c r="AD6" s="22" t="s">
        <v>37</v>
      </c>
      <c r="AE6" s="26">
        <v>39161</v>
      </c>
      <c r="AM6" s="22" t="s">
        <v>82</v>
      </c>
      <c r="AN6" s="26">
        <v>43855</v>
      </c>
      <c r="AW6" s="22" t="s">
        <v>36</v>
      </c>
      <c r="AX6" s="26">
        <v>32871</v>
      </c>
      <c r="AY6" s="32">
        <v>15393</v>
      </c>
      <c r="BJ6" s="22" t="s">
        <v>32</v>
      </c>
      <c r="BK6">
        <v>137</v>
      </c>
    </row>
    <row r="7" spans="1:64" x14ac:dyDescent="0.25">
      <c r="I7" s="22" t="s">
        <v>7</v>
      </c>
      <c r="J7" s="28">
        <v>9396</v>
      </c>
      <c r="K7" s="28">
        <v>16704</v>
      </c>
      <c r="T7" s="22" t="s">
        <v>67</v>
      </c>
      <c r="U7" s="23">
        <v>44204</v>
      </c>
      <c r="AD7" s="22" t="s">
        <v>61</v>
      </c>
      <c r="AE7" s="26">
        <v>355048</v>
      </c>
      <c r="AM7" s="22" t="s">
        <v>83</v>
      </c>
      <c r="AN7" s="26">
        <v>38824</v>
      </c>
      <c r="AW7" s="22" t="s">
        <v>39</v>
      </c>
      <c r="AX7" s="26">
        <v>32026</v>
      </c>
      <c r="AY7" s="32">
        <v>14468</v>
      </c>
      <c r="BJ7" s="22" t="s">
        <v>41</v>
      </c>
      <c r="BK7">
        <v>125</v>
      </c>
    </row>
    <row r="8" spans="1:64" x14ac:dyDescent="0.25">
      <c r="I8" s="22" t="s">
        <v>6</v>
      </c>
      <c r="J8" s="28">
        <v>11778</v>
      </c>
      <c r="K8" s="28">
        <v>24462</v>
      </c>
      <c r="T8" s="22" t="s">
        <v>68</v>
      </c>
      <c r="U8" s="23">
        <v>44578</v>
      </c>
      <c r="AM8" s="22" t="s">
        <v>84</v>
      </c>
      <c r="AN8" s="26">
        <v>94797</v>
      </c>
      <c r="AW8" s="22" t="s">
        <v>50</v>
      </c>
      <c r="AX8" s="26">
        <v>30124</v>
      </c>
      <c r="AY8" s="32">
        <v>13584</v>
      </c>
      <c r="BJ8" s="22" t="s">
        <v>45</v>
      </c>
      <c r="BK8">
        <v>103</v>
      </c>
    </row>
    <row r="9" spans="1:64" x14ac:dyDescent="0.25">
      <c r="I9" s="22" t="s">
        <v>5</v>
      </c>
      <c r="J9" s="28">
        <v>24150</v>
      </c>
      <c r="K9" s="28">
        <v>51175</v>
      </c>
      <c r="T9" s="22" t="s">
        <v>69</v>
      </c>
      <c r="U9" s="23">
        <v>70771</v>
      </c>
      <c r="AM9" s="22" t="s">
        <v>61</v>
      </c>
      <c r="AN9" s="26">
        <v>355048</v>
      </c>
      <c r="AW9" s="22" t="s">
        <v>46</v>
      </c>
      <c r="AX9" s="26">
        <v>29392</v>
      </c>
      <c r="AY9" s="32">
        <v>13441</v>
      </c>
      <c r="BJ9" s="22" t="s">
        <v>61</v>
      </c>
      <c r="BK9">
        <v>500</v>
      </c>
    </row>
    <row r="10" spans="1:64" x14ac:dyDescent="0.25">
      <c r="I10" s="22" t="s">
        <v>10</v>
      </c>
      <c r="J10" s="28">
        <v>26367</v>
      </c>
      <c r="K10" s="28">
        <v>58905</v>
      </c>
      <c r="T10" s="22" t="s">
        <v>70</v>
      </c>
      <c r="U10" s="23">
        <v>49497</v>
      </c>
      <c r="AW10" s="22" t="s">
        <v>44</v>
      </c>
      <c r="AX10" s="26">
        <v>26531</v>
      </c>
      <c r="AY10" s="32">
        <v>12210</v>
      </c>
    </row>
    <row r="11" spans="1:64" x14ac:dyDescent="0.25">
      <c r="I11" s="22" t="s">
        <v>15</v>
      </c>
      <c r="J11" s="28">
        <v>17784</v>
      </c>
      <c r="K11" s="28">
        <v>40698</v>
      </c>
      <c r="T11" s="22" t="s">
        <v>71</v>
      </c>
      <c r="U11" s="23">
        <v>16041</v>
      </c>
      <c r="AW11" s="22" t="s">
        <v>53</v>
      </c>
      <c r="AX11" s="26">
        <v>26595</v>
      </c>
      <c r="AY11" s="32">
        <v>11974</v>
      </c>
    </row>
    <row r="12" spans="1:64" x14ac:dyDescent="0.25">
      <c r="I12" s="22" t="s">
        <v>61</v>
      </c>
      <c r="J12" s="28">
        <v>162335</v>
      </c>
      <c r="K12" s="28">
        <v>355048</v>
      </c>
      <c r="T12" s="22" t="s">
        <v>61</v>
      </c>
      <c r="U12" s="23">
        <v>355048</v>
      </c>
      <c r="AW12" s="22" t="s">
        <v>29</v>
      </c>
      <c r="AX12" s="26">
        <v>25851</v>
      </c>
      <c r="AY12" s="32">
        <v>11798</v>
      </c>
    </row>
    <row r="13" spans="1:64" x14ac:dyDescent="0.25">
      <c r="AW13" s="22" t="s">
        <v>34</v>
      </c>
      <c r="AX13" s="26">
        <v>20798</v>
      </c>
      <c r="AY13" s="32">
        <v>9638</v>
      </c>
    </row>
    <row r="14" spans="1:64" x14ac:dyDescent="0.25">
      <c r="AW14" s="22" t="s">
        <v>49</v>
      </c>
      <c r="AX14" s="26">
        <v>20810</v>
      </c>
      <c r="AY14" s="32">
        <v>9548</v>
      </c>
    </row>
    <row r="15" spans="1:64" x14ac:dyDescent="0.25">
      <c r="AW15" s="22" t="s">
        <v>47</v>
      </c>
      <c r="AX15" s="26">
        <v>20204</v>
      </c>
      <c r="AY15" s="32">
        <v>9010</v>
      </c>
    </row>
    <row r="16" spans="1:64" x14ac:dyDescent="0.25">
      <c r="AW16" s="22" t="s">
        <v>43</v>
      </c>
      <c r="AX16" s="26">
        <v>18562</v>
      </c>
      <c r="AY16" s="32">
        <v>8476</v>
      </c>
    </row>
    <row r="17" spans="49:51" x14ac:dyDescent="0.25">
      <c r="AW17" s="22" t="s">
        <v>35</v>
      </c>
      <c r="AX17" s="26">
        <v>17565</v>
      </c>
      <c r="AY17" s="32">
        <v>8102</v>
      </c>
    </row>
    <row r="18" spans="49:51" x14ac:dyDescent="0.25">
      <c r="AW18" s="22" t="s">
        <v>51</v>
      </c>
      <c r="AX18" s="26">
        <v>14592</v>
      </c>
      <c r="AY18" s="32">
        <v>6801</v>
      </c>
    </row>
    <row r="19" spans="49:51" x14ac:dyDescent="0.25">
      <c r="AW19" s="22" t="s">
        <v>61</v>
      </c>
      <c r="AX19" s="26">
        <v>355048</v>
      </c>
      <c r="AY19" s="32">
        <v>162335</v>
      </c>
    </row>
  </sheetData>
  <pageMargins left="0.7" right="0.7" top="0.75" bottom="0.75" header="0.3" footer="0.3"/>
  <pageSetup orientation="landscape"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C0FF-28DB-4EC4-BD41-4B4310D34921}">
  <dimension ref="A1:M1"/>
  <sheetViews>
    <sheetView showGridLines="0" workbookViewId="0">
      <selection activeCell="O15" sqref="O15"/>
    </sheetView>
  </sheetViews>
  <sheetFormatPr defaultRowHeight="15" x14ac:dyDescent="0.25"/>
  <cols>
    <col min="1" max="13" width="9.140625" style="34"/>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Business Questions</vt:lpstr>
      <vt:lpstr>Shoe Sales</vt:lpstr>
      <vt:lpstr>Price</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Machine</dc:creator>
  <cp:lastModifiedBy>HomePC</cp:lastModifiedBy>
  <cp:lastPrinted>2026-09-14T12:48:24Z</cp:lastPrinted>
  <dcterms:created xsi:type="dcterms:W3CDTF">2026-05-12T11:30:47Z</dcterms:created>
  <dcterms:modified xsi:type="dcterms:W3CDTF">2026-09-17T04:11:15Z</dcterms:modified>
</cp:coreProperties>
</file>